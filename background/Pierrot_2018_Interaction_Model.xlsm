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Z:\Repository\Ocean Physics\"/>
    </mc:Choice>
  </mc:AlternateContent>
  <bookViews>
    <workbookView xWindow="0" yWindow="0" windowWidth="28800" windowHeight="12435" tabRatio="607"/>
  </bookViews>
  <sheets>
    <sheet name="main" sheetId="1" r:id="rId1"/>
  </sheets>
  <definedNames>
    <definedName name="_xlnm.Print_Area" localSheetId="0">main!$A$1:$D$71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22" i="1" l="1"/>
  <c r="C21" i="1"/>
  <c r="C20" i="1"/>
  <c r="C19" i="1"/>
  <c r="C18" i="1"/>
  <c r="C17" i="1"/>
  <c r="C16" i="1"/>
  <c r="C14" i="1"/>
  <c r="C13" i="1"/>
  <c r="C12" i="1"/>
  <c r="C11" i="1"/>
  <c r="C10" i="1"/>
</calcChain>
</file>

<file path=xl/comments1.xml><?xml version="1.0" encoding="utf-8"?>
<comments xmlns="http://schemas.openxmlformats.org/spreadsheetml/2006/main">
  <authors>
    <author>Denis Pierrot</author>
  </authors>
  <commentList>
    <comment ref="G1" authorId="0" shapeId="0">
      <text>
        <r>
          <rPr>
            <b/>
            <sz val="8"/>
            <color indexed="81"/>
            <rFont val="Tahoma"/>
          </rPr>
          <t>Denis Pierrot:</t>
        </r>
        <r>
          <rPr>
            <sz val="8"/>
            <color indexed="81"/>
            <rFont val="Tahoma"/>
          </rPr>
          <t xml:space="preserve">
Includes UnSymmetrical Mixing Term</t>
        </r>
      </text>
    </comment>
    <comment ref="L1" authorId="0" shapeId="0">
      <text>
        <r>
          <rPr>
            <b/>
            <sz val="8"/>
            <color indexed="81"/>
            <rFont val="Tahoma"/>
          </rPr>
          <t>Denis Pierrot:</t>
        </r>
        <r>
          <rPr>
            <sz val="8"/>
            <color indexed="81"/>
            <rFont val="Tahoma"/>
          </rPr>
          <t xml:space="preserve">
Includes UnSymmetrical Mixing Term</t>
        </r>
      </text>
    </comment>
    <comment ref="Q1" authorId="0" shapeId="0">
      <text>
        <r>
          <rPr>
            <b/>
            <sz val="8"/>
            <color indexed="81"/>
            <rFont val="Tahoma"/>
          </rPr>
          <t>Denis Pierrot:</t>
        </r>
        <r>
          <rPr>
            <sz val="8"/>
            <color indexed="81"/>
            <rFont val="Tahoma"/>
          </rPr>
          <t xml:space="preserve">
Includes UnSymmetrical Mixing Term</t>
        </r>
      </text>
    </comment>
    <comment ref="A29" authorId="0" shapeId="0">
      <text>
        <r>
          <rPr>
            <b/>
            <sz val="8"/>
            <color indexed="81"/>
            <rFont val="Tahoma"/>
          </rPr>
          <t>Denis Pierrot:</t>
        </r>
        <r>
          <rPr>
            <sz val="8"/>
            <color indexed="81"/>
            <rFont val="Tahoma"/>
          </rPr>
          <t xml:space="preserve">
If blank, uses default of 8.1</t>
        </r>
      </text>
    </comment>
    <comment ref="A30" authorId="0" shapeId="0">
      <text>
        <r>
          <rPr>
            <b/>
            <sz val="8"/>
            <color indexed="81"/>
            <rFont val="Tahoma"/>
          </rPr>
          <t>Denis Pierrot:</t>
        </r>
        <r>
          <rPr>
            <sz val="8"/>
            <color indexed="81"/>
            <rFont val="Tahoma"/>
          </rPr>
          <t xml:space="preserve">
Leave blank to keep original composition (from above)</t>
        </r>
      </text>
    </comment>
  </commentList>
</comments>
</file>

<file path=xl/sharedStrings.xml><?xml version="1.0" encoding="utf-8"?>
<sst xmlns="http://schemas.openxmlformats.org/spreadsheetml/2006/main" count="711" uniqueCount="421">
  <si>
    <t>Temperature(oC)</t>
  </si>
  <si>
    <t>Salinity</t>
  </si>
  <si>
    <t>Molality</t>
  </si>
  <si>
    <t>Free Fraction (%)</t>
  </si>
  <si>
    <t>Neutral</t>
  </si>
  <si>
    <t>Acid</t>
  </si>
  <si>
    <t>pK*1</t>
  </si>
  <si>
    <t>pK*2</t>
  </si>
  <si>
    <t>pK*3</t>
  </si>
  <si>
    <t>Ion Pair</t>
  </si>
  <si>
    <t>log K</t>
  </si>
  <si>
    <t>log K*</t>
  </si>
  <si>
    <t>Fraction(tr)</t>
  </si>
  <si>
    <t>Sr</t>
  </si>
  <si>
    <t>Cl</t>
  </si>
  <si>
    <t>NH3</t>
  </si>
  <si>
    <t>CO2</t>
  </si>
  <si>
    <t>Mn</t>
  </si>
  <si>
    <t>La</t>
  </si>
  <si>
    <t>Na</t>
  </si>
  <si>
    <t>SO4</t>
  </si>
  <si>
    <t>B(OH)3</t>
  </si>
  <si>
    <t>H2S</t>
  </si>
  <si>
    <t>N/A</t>
  </si>
  <si>
    <t>MnOH</t>
  </si>
  <si>
    <t>LaOH</t>
  </si>
  <si>
    <t>K</t>
  </si>
  <si>
    <t>CO3</t>
  </si>
  <si>
    <t>H3PO4</t>
  </si>
  <si>
    <t>Mn(OH)2</t>
  </si>
  <si>
    <t>LaHCO3</t>
  </si>
  <si>
    <t>Mg</t>
  </si>
  <si>
    <t>HCO3</t>
  </si>
  <si>
    <t>NH4</t>
  </si>
  <si>
    <t>MnHCO3</t>
  </si>
  <si>
    <t>LaCO3</t>
  </si>
  <si>
    <t>Ca</t>
  </si>
  <si>
    <t>Br</t>
  </si>
  <si>
    <t>SO2</t>
  </si>
  <si>
    <t>H2SO4</t>
  </si>
  <si>
    <t>MnCO3</t>
  </si>
  <si>
    <t>La(CO3)2</t>
  </si>
  <si>
    <t>H</t>
  </si>
  <si>
    <t>F</t>
  </si>
  <si>
    <t>H2O</t>
  </si>
  <si>
    <t>MnHS</t>
  </si>
  <si>
    <t>LaSO4</t>
  </si>
  <si>
    <t>Li</t>
  </si>
  <si>
    <t>HF</t>
  </si>
  <si>
    <t>LaCl</t>
  </si>
  <si>
    <t>Rb</t>
  </si>
  <si>
    <t>H2SO3</t>
  </si>
  <si>
    <t>LaF</t>
  </si>
  <si>
    <t>Cs</t>
  </si>
  <si>
    <t>HS</t>
  </si>
  <si>
    <t>Fe</t>
  </si>
  <si>
    <t>LaH2PO4</t>
  </si>
  <si>
    <t>OH</t>
  </si>
  <si>
    <t>HAc</t>
  </si>
  <si>
    <t>LaHPO4</t>
  </si>
  <si>
    <t>Ba</t>
  </si>
  <si>
    <t>Calcite</t>
  </si>
  <si>
    <t>La(HPO4)2</t>
  </si>
  <si>
    <t>ClO3</t>
  </si>
  <si>
    <t>Aragonite</t>
  </si>
  <si>
    <t>ClO4</t>
  </si>
  <si>
    <t>H3AsO4</t>
  </si>
  <si>
    <t>Co</t>
  </si>
  <si>
    <t>BrO3</t>
  </si>
  <si>
    <t>Ce</t>
  </si>
  <si>
    <t>Ni</t>
  </si>
  <si>
    <t>CNS</t>
  </si>
  <si>
    <t>CeOH</t>
  </si>
  <si>
    <t>Cu</t>
  </si>
  <si>
    <t>NO2</t>
  </si>
  <si>
    <t>CeHCO3</t>
  </si>
  <si>
    <t>Zn</t>
  </si>
  <si>
    <t>NO3</t>
  </si>
  <si>
    <t>CeCO3</t>
  </si>
  <si>
    <t>UO2</t>
  </si>
  <si>
    <t>H2PO4</t>
  </si>
  <si>
    <t>Ce(CO3)2</t>
  </si>
  <si>
    <t>Be</t>
  </si>
  <si>
    <t>HPO4</t>
  </si>
  <si>
    <t>CoOH</t>
  </si>
  <si>
    <t>CeSO4</t>
  </si>
  <si>
    <t>Cd</t>
  </si>
  <si>
    <t>PO4</t>
  </si>
  <si>
    <t>Co(OH)2</t>
  </si>
  <si>
    <t>CeCl</t>
  </si>
  <si>
    <t>Pb</t>
  </si>
  <si>
    <t>H2AsO4</t>
  </si>
  <si>
    <t>CoHCO3</t>
  </si>
  <si>
    <t>CeF</t>
  </si>
  <si>
    <t>MgOH</t>
  </si>
  <si>
    <t>HAsO4</t>
  </si>
  <si>
    <t>CoCO3</t>
  </si>
  <si>
    <t>CeH2PO4</t>
  </si>
  <si>
    <t>AsO4</t>
  </si>
  <si>
    <t>CoHS</t>
  </si>
  <si>
    <t>CeHPO4</t>
  </si>
  <si>
    <t>HSO3</t>
  </si>
  <si>
    <t>Ce(HPO4)2</t>
  </si>
  <si>
    <t>Pr</t>
  </si>
  <si>
    <t>SO3</t>
  </si>
  <si>
    <t>Nd</t>
  </si>
  <si>
    <t>Acetate</t>
  </si>
  <si>
    <t>Pm</t>
  </si>
  <si>
    <t>NiOH</t>
  </si>
  <si>
    <t>Sm</t>
  </si>
  <si>
    <t>Ni(OH)2</t>
  </si>
  <si>
    <t>PrOH</t>
  </si>
  <si>
    <t>Eu</t>
  </si>
  <si>
    <t>NiHCO3</t>
  </si>
  <si>
    <t>PrHCO3</t>
  </si>
  <si>
    <t>Gd</t>
  </si>
  <si>
    <t>NiCO3</t>
  </si>
  <si>
    <t>PrCO3</t>
  </si>
  <si>
    <t>Tb</t>
  </si>
  <si>
    <t>NiHS</t>
  </si>
  <si>
    <t>Pr(CO3)2</t>
  </si>
  <si>
    <t>Dy</t>
  </si>
  <si>
    <t>PrSO4</t>
  </si>
  <si>
    <t>Ho</t>
  </si>
  <si>
    <t>PrCl</t>
  </si>
  <si>
    <t>Er</t>
  </si>
  <si>
    <t>PrF</t>
  </si>
  <si>
    <t>Tm</t>
  </si>
  <si>
    <t>CuOH</t>
  </si>
  <si>
    <t>PrH2PO4</t>
  </si>
  <si>
    <t>Yb</t>
  </si>
  <si>
    <t>Cu(OH)2</t>
  </si>
  <si>
    <t>PrHPO4</t>
  </si>
  <si>
    <t>Lu</t>
  </si>
  <si>
    <t>CuHCO3</t>
  </si>
  <si>
    <t>Pr(HPO4)2</t>
  </si>
  <si>
    <t>Y</t>
  </si>
  <si>
    <t>CuCO3</t>
  </si>
  <si>
    <t>Al</t>
  </si>
  <si>
    <t>Cu(CO3)2</t>
  </si>
  <si>
    <t>Ga</t>
  </si>
  <si>
    <t>CuHS</t>
  </si>
  <si>
    <t>In</t>
  </si>
  <si>
    <t>Cu(HS)2</t>
  </si>
  <si>
    <t>NdOH</t>
  </si>
  <si>
    <t>CuSO4</t>
  </si>
  <si>
    <t>NdHCO3</t>
  </si>
  <si>
    <t>NdCO3</t>
  </si>
  <si>
    <t>Nd(CO3)2</t>
  </si>
  <si>
    <t>NdSO4</t>
  </si>
  <si>
    <t>ZnOH</t>
  </si>
  <si>
    <t>NdCl</t>
  </si>
  <si>
    <t>Zn(OH)2</t>
  </si>
  <si>
    <t>NdF</t>
  </si>
  <si>
    <t>ZnHCO3</t>
  </si>
  <si>
    <t>NdH2PO4</t>
  </si>
  <si>
    <t>ZnCO3</t>
  </si>
  <si>
    <t>NdHPO4</t>
  </si>
  <si>
    <t>Zn(CO3)2</t>
  </si>
  <si>
    <t>Nd(HPO4)2</t>
  </si>
  <si>
    <t>ZnHS</t>
  </si>
  <si>
    <t>Zn(HS)2</t>
  </si>
  <si>
    <t>PmOH</t>
  </si>
  <si>
    <t>PmHCO3</t>
  </si>
  <si>
    <t>UO2OH</t>
  </si>
  <si>
    <t>PmCO3</t>
  </si>
  <si>
    <t>UO2CO3</t>
  </si>
  <si>
    <t>Pm(CO3)2</t>
  </si>
  <si>
    <t>UO2(CO3)2</t>
  </si>
  <si>
    <t>PmSO4</t>
  </si>
  <si>
    <t>UO2(CO3)3</t>
  </si>
  <si>
    <t>PmCl</t>
  </si>
  <si>
    <t>UO2F</t>
  </si>
  <si>
    <t>PmF</t>
  </si>
  <si>
    <t>UO2(F)2</t>
  </si>
  <si>
    <t>PmH2PO4</t>
  </si>
  <si>
    <t>UO2(F)3</t>
  </si>
  <si>
    <t>PmHPO4</t>
  </si>
  <si>
    <t>UO2(F)4</t>
  </si>
  <si>
    <t>Pm(HPO4)2</t>
  </si>
  <si>
    <t>BeOH</t>
  </si>
  <si>
    <t>SmOH</t>
  </si>
  <si>
    <t>Be(OH)2</t>
  </si>
  <si>
    <t>SmHCO3</t>
  </si>
  <si>
    <t>Be(OH)3</t>
  </si>
  <si>
    <t>SmCO3</t>
  </si>
  <si>
    <t>Be(OH)4</t>
  </si>
  <si>
    <t>Sm(CO3)2</t>
  </si>
  <si>
    <t>BeCO3</t>
  </si>
  <si>
    <t>SmSO4</t>
  </si>
  <si>
    <t>BeF</t>
  </si>
  <si>
    <t>SmCl</t>
  </si>
  <si>
    <t>Be(F)2</t>
  </si>
  <si>
    <t>SmF</t>
  </si>
  <si>
    <t>SmH2PO4</t>
  </si>
  <si>
    <t>SmHPO4</t>
  </si>
  <si>
    <t>Sm(HPO4)2</t>
  </si>
  <si>
    <t>CdOH</t>
  </si>
  <si>
    <t>Cd(OH)2</t>
  </si>
  <si>
    <t>CdHCO3</t>
  </si>
  <si>
    <t>CdCO3</t>
  </si>
  <si>
    <t>EuOH</t>
  </si>
  <si>
    <t>CdHS</t>
  </si>
  <si>
    <t>EuHCO3</t>
  </si>
  <si>
    <t>Cd(HS)2</t>
  </si>
  <si>
    <t>EuCO3</t>
  </si>
  <si>
    <t>CdCl</t>
  </si>
  <si>
    <t>Eu(CO3)2</t>
  </si>
  <si>
    <t>Cd(Cl)2</t>
  </si>
  <si>
    <t>EuSO4</t>
  </si>
  <si>
    <t>Cd(Cl)3</t>
  </si>
  <si>
    <t>EuCl</t>
  </si>
  <si>
    <t>EuF</t>
  </si>
  <si>
    <t>EuH2PO4</t>
  </si>
  <si>
    <t>EuHPO4</t>
  </si>
  <si>
    <t>PbOH</t>
  </si>
  <si>
    <t>Eu(HPO4)2</t>
  </si>
  <si>
    <t>Pb(OH)2</t>
  </si>
  <si>
    <t>PbHCO3</t>
  </si>
  <si>
    <t>PbCO3</t>
  </si>
  <si>
    <t>Pb(CO3)2</t>
  </si>
  <si>
    <t>GdOH</t>
  </si>
  <si>
    <t>PbHS</t>
  </si>
  <si>
    <t>GdHCO3</t>
  </si>
  <si>
    <t>Pb(HS)2</t>
  </si>
  <si>
    <t>GdCO3</t>
  </si>
  <si>
    <t>PbCl</t>
  </si>
  <si>
    <t>Gd(CO3)2</t>
  </si>
  <si>
    <t>Pb(Cl)2</t>
  </si>
  <si>
    <t>GdSO4</t>
  </si>
  <si>
    <t>Pb(Cl)3</t>
  </si>
  <si>
    <t>GdCl</t>
  </si>
  <si>
    <t>GdF</t>
  </si>
  <si>
    <t>GdH2PO4</t>
  </si>
  <si>
    <t>Hg</t>
  </si>
  <si>
    <t>GdHPO4</t>
  </si>
  <si>
    <t>HgHS</t>
  </si>
  <si>
    <t>Gd(HPO4)2</t>
  </si>
  <si>
    <t>Hg(HS)2</t>
  </si>
  <si>
    <t>HgCl</t>
  </si>
  <si>
    <t>Hg(Cl)2</t>
  </si>
  <si>
    <t>Hg(Cl)3</t>
  </si>
  <si>
    <t>TbOH</t>
  </si>
  <si>
    <t>Hg(Cl)4</t>
  </si>
  <si>
    <t>TbHCO3</t>
  </si>
  <si>
    <t>TbCO3</t>
  </si>
  <si>
    <t>Tb(CO3)2</t>
  </si>
  <si>
    <t>Cu(I)</t>
  </si>
  <si>
    <t>TbSO4</t>
  </si>
  <si>
    <t>TbCl</t>
  </si>
  <si>
    <t>TbF</t>
  </si>
  <si>
    <t>TbH2PO4</t>
  </si>
  <si>
    <t>TbHPO4</t>
  </si>
  <si>
    <t>Tb(HPO4)2</t>
  </si>
  <si>
    <t>DyOH</t>
  </si>
  <si>
    <t>DyHCO3</t>
  </si>
  <si>
    <t>DyCO3</t>
  </si>
  <si>
    <t>Dy(CO3)2</t>
  </si>
  <si>
    <t>DySO4</t>
  </si>
  <si>
    <t>DyCl</t>
  </si>
  <si>
    <t>DyF</t>
  </si>
  <si>
    <t>DyH2PO4</t>
  </si>
  <si>
    <t>DyHPO4</t>
  </si>
  <si>
    <t>Dy(HPO4)2</t>
  </si>
  <si>
    <t>HoOH</t>
  </si>
  <si>
    <t>HoHCO3</t>
  </si>
  <si>
    <t>HoCO3</t>
  </si>
  <si>
    <t>Ho(CO3)2</t>
  </si>
  <si>
    <t>HoSO4</t>
  </si>
  <si>
    <t>HoCl</t>
  </si>
  <si>
    <t>HoF</t>
  </si>
  <si>
    <t>HoH2PO4</t>
  </si>
  <si>
    <t>HoHPO4</t>
  </si>
  <si>
    <t>Ho(HPO4)2</t>
  </si>
  <si>
    <t>ErOH</t>
  </si>
  <si>
    <t>ErHCO3</t>
  </si>
  <si>
    <t>ErCO3</t>
  </si>
  <si>
    <t>Er(CO3)2</t>
  </si>
  <si>
    <t>ErSO4</t>
  </si>
  <si>
    <t>ErCl</t>
  </si>
  <si>
    <t>ErF</t>
  </si>
  <si>
    <t>ErH2PO4</t>
  </si>
  <si>
    <t>ErHPO4</t>
  </si>
  <si>
    <t>Er(HPO4)2</t>
  </si>
  <si>
    <t>TmOH</t>
  </si>
  <si>
    <t>TmHCO3</t>
  </si>
  <si>
    <t>TmCO3</t>
  </si>
  <si>
    <t>Tm(CO3)2</t>
  </si>
  <si>
    <t>TmSO4</t>
  </si>
  <si>
    <t>TmCl</t>
  </si>
  <si>
    <t>TmF</t>
  </si>
  <si>
    <t>TmH2PO4</t>
  </si>
  <si>
    <t>TmHPO4</t>
  </si>
  <si>
    <t>Tm(HPO4)2</t>
  </si>
  <si>
    <t>YbOH</t>
  </si>
  <si>
    <t>YbHCO3</t>
  </si>
  <si>
    <t>YbCO3</t>
  </si>
  <si>
    <t>Yb(CO3)2</t>
  </si>
  <si>
    <t>YbSO4</t>
  </si>
  <si>
    <t>YbCl</t>
  </si>
  <si>
    <t>YbF</t>
  </si>
  <si>
    <t>YbH2PO4</t>
  </si>
  <si>
    <t>YbHPO4</t>
  </si>
  <si>
    <t>Yb(HPO4)2</t>
  </si>
  <si>
    <t>LuOH</t>
  </si>
  <si>
    <t>LuHCO3</t>
  </si>
  <si>
    <t>LuCO3</t>
  </si>
  <si>
    <t>Lu(CO3)2</t>
  </si>
  <si>
    <t>LuSO4</t>
  </si>
  <si>
    <t>LuCl</t>
  </si>
  <si>
    <t>LuF</t>
  </si>
  <si>
    <t>LuH2PO4</t>
  </si>
  <si>
    <t>LuHPO4</t>
  </si>
  <si>
    <t>Lu(HPO4)2</t>
  </si>
  <si>
    <t>YOH</t>
  </si>
  <si>
    <t>Y(OH)2</t>
  </si>
  <si>
    <t>Y(OH)3</t>
  </si>
  <si>
    <t>Y(OH)4</t>
  </si>
  <si>
    <t>YCO3</t>
  </si>
  <si>
    <t>YSO4</t>
  </si>
  <si>
    <t>Y(SO4)2</t>
  </si>
  <si>
    <t>YCl</t>
  </si>
  <si>
    <t>YF</t>
  </si>
  <si>
    <t>Y(F)2</t>
  </si>
  <si>
    <t>Y(F)3</t>
  </si>
  <si>
    <t>AlOH</t>
  </si>
  <si>
    <t>Al(OH)2</t>
  </si>
  <si>
    <t>Al(OH)3</t>
  </si>
  <si>
    <t>Al(OH)4</t>
  </si>
  <si>
    <t>AlCO3</t>
  </si>
  <si>
    <t>AlF</t>
  </si>
  <si>
    <t>Al(F)2</t>
  </si>
  <si>
    <t>Al(F)3</t>
  </si>
  <si>
    <t>Al(F)4</t>
  </si>
  <si>
    <t>GaOH</t>
  </si>
  <si>
    <t>Ga(OH)2</t>
  </si>
  <si>
    <t>Ga(OH)3</t>
  </si>
  <si>
    <t>Ga(OH)4</t>
  </si>
  <si>
    <t>GaCO3</t>
  </si>
  <si>
    <t>GaCl</t>
  </si>
  <si>
    <t>GaF</t>
  </si>
  <si>
    <t>Ga(F)2</t>
  </si>
  <si>
    <t>Ga(F)3</t>
  </si>
  <si>
    <t>InOH</t>
  </si>
  <si>
    <t>In(OH)2</t>
  </si>
  <si>
    <t>In(OH)3</t>
  </si>
  <si>
    <t>In(OH)4</t>
  </si>
  <si>
    <t>InCO3</t>
  </si>
  <si>
    <t>InSO4</t>
  </si>
  <si>
    <t>In(SO4)2</t>
  </si>
  <si>
    <t>In(SO4)3</t>
  </si>
  <si>
    <t>InCl</t>
  </si>
  <si>
    <t>In(Cl)2</t>
  </si>
  <si>
    <t>In(Cl)3</t>
  </si>
  <si>
    <t>InF</t>
  </si>
  <si>
    <t>In(F)2</t>
  </si>
  <si>
    <t>In(F)3</t>
  </si>
  <si>
    <t>In(F)4</t>
  </si>
  <si>
    <r>
      <t>SO</t>
    </r>
    <r>
      <rPr>
        <b/>
        <i/>
        <u/>
        <vertAlign val="subscript"/>
        <sz val="12"/>
        <rFont val="Comic Sans MS"/>
        <family val="4"/>
      </rPr>
      <t>4</t>
    </r>
  </si>
  <si>
    <r>
      <t>CO</t>
    </r>
    <r>
      <rPr>
        <b/>
        <i/>
        <u/>
        <vertAlign val="subscript"/>
        <sz val="12"/>
        <rFont val="Comic Sans MS"/>
        <family val="4"/>
      </rPr>
      <t>3</t>
    </r>
  </si>
  <si>
    <r>
      <t>HCO</t>
    </r>
    <r>
      <rPr>
        <b/>
        <i/>
        <u/>
        <vertAlign val="subscript"/>
        <sz val="12"/>
        <rFont val="Comic Sans MS"/>
        <family val="4"/>
      </rPr>
      <t>3</t>
    </r>
  </si>
  <si>
    <r>
      <t>B(OH)</t>
    </r>
    <r>
      <rPr>
        <b/>
        <i/>
        <u/>
        <vertAlign val="subscript"/>
        <sz val="12"/>
        <rFont val="Comic Sans MS"/>
        <family val="4"/>
      </rPr>
      <t>4</t>
    </r>
  </si>
  <si>
    <t>Molalities</t>
  </si>
  <si>
    <t>Instructions</t>
  </si>
  <si>
    <t>1 - Enter the Temperature                --------------&gt;</t>
  </si>
  <si>
    <t>2 - Enter Salinity                                                                                              --------------&gt;</t>
  </si>
  <si>
    <t>Cu(II)</t>
  </si>
  <si>
    <t>Click Here When READY</t>
  </si>
  <si>
    <t>Divalent</t>
  </si>
  <si>
    <t>Trivalent</t>
  </si>
  <si>
    <t>Parameter</t>
  </si>
  <si>
    <t>Value</t>
  </si>
  <si>
    <t>pH</t>
  </si>
  <si>
    <t>B(OH)4</t>
  </si>
  <si>
    <t>HSO4</t>
  </si>
  <si>
    <t xml:space="preserve">OR Molalities ---------&gt;
(Delete Salinity Value)                  </t>
  </si>
  <si>
    <r>
      <t>TCO</t>
    </r>
    <r>
      <rPr>
        <b/>
        <i/>
        <vertAlign val="subscript"/>
        <sz val="12"/>
        <color theme="6" tint="-0.249977111117893"/>
        <rFont val="Comic Sans MS"/>
      </rPr>
      <t>2</t>
    </r>
  </si>
  <si>
    <r>
      <t>H</t>
    </r>
    <r>
      <rPr>
        <b/>
        <i/>
        <vertAlign val="subscript"/>
        <sz val="12"/>
        <color theme="6" tint="-0.249977111117893"/>
        <rFont val="Comic Sans MS"/>
      </rPr>
      <t>2</t>
    </r>
    <r>
      <rPr>
        <b/>
        <i/>
        <sz val="12"/>
        <color theme="6" tint="-0.249977111117893"/>
        <rFont val="Comic Sans MS"/>
      </rPr>
      <t>S</t>
    </r>
  </si>
  <si>
    <r>
      <t>PO</t>
    </r>
    <r>
      <rPr>
        <b/>
        <i/>
        <vertAlign val="subscript"/>
        <sz val="12"/>
        <color theme="6" tint="-0.249977111117893"/>
        <rFont val="Comic Sans MS"/>
      </rPr>
      <t>4</t>
    </r>
  </si>
  <si>
    <t>I</t>
  </si>
  <si>
    <t>Fe(II)</t>
  </si>
  <si>
    <t>Pb(II)</t>
  </si>
  <si>
    <t>Fe(III)</t>
  </si>
  <si>
    <t>MnSO4</t>
  </si>
  <si>
    <t>MnCl</t>
  </si>
  <si>
    <t>FeOH</t>
  </si>
  <si>
    <t>FeHCO3</t>
  </si>
  <si>
    <t>FeCO3</t>
  </si>
  <si>
    <t>Fe(CO3)2</t>
  </si>
  <si>
    <t>FeSO4</t>
  </si>
  <si>
    <t>FeCl</t>
  </si>
  <si>
    <t>CoSO4</t>
  </si>
  <si>
    <t>CoCl</t>
  </si>
  <si>
    <t>NiSO4</t>
  </si>
  <si>
    <t>NiCl</t>
  </si>
  <si>
    <t>CuCl</t>
  </si>
  <si>
    <t>ZnSO4</t>
  </si>
  <si>
    <t>ZnCl</t>
  </si>
  <si>
    <t>CdSO4</t>
  </si>
  <si>
    <t>PbSO4</t>
  </si>
  <si>
    <t>Fe(OH)2</t>
  </si>
  <si>
    <t>FeHS</t>
  </si>
  <si>
    <t>Ni(SO4)2</t>
  </si>
  <si>
    <t>Zn(SO4)2</t>
  </si>
  <si>
    <t>Pb(SO4)2</t>
  </si>
  <si>
    <t>Cu(Cl)2</t>
  </si>
  <si>
    <t>Fe(OH)3</t>
  </si>
  <si>
    <t>Fe(OH)4</t>
  </si>
  <si>
    <t>Fe(SO4)2</t>
  </si>
  <si>
    <t>Cation</t>
  </si>
  <si>
    <t>Anion</t>
  </si>
  <si>
    <t>g</t>
  </si>
  <si>
    <r>
      <rPr>
        <b/>
        <sz val="12"/>
        <color rgb="FF3366FF"/>
        <rFont val="Symbol"/>
      </rPr>
      <t>γ</t>
    </r>
    <r>
      <rPr>
        <b/>
        <vertAlign val="subscript"/>
        <sz val="12"/>
        <color rgb="FF3366FF"/>
        <rFont val="Comic Sans MS"/>
      </rPr>
      <t>N</t>
    </r>
  </si>
  <si>
    <r>
      <rPr>
        <b/>
        <sz val="12"/>
        <color rgb="FF008000"/>
        <rFont val="Symbol"/>
      </rPr>
      <t>γ</t>
    </r>
    <r>
      <rPr>
        <b/>
        <vertAlign val="subscript"/>
        <sz val="12"/>
        <color rgb="FF008000"/>
        <rFont val="Comic Sans MS"/>
      </rPr>
      <t>X</t>
    </r>
  </si>
  <si>
    <r>
      <rPr>
        <b/>
        <sz val="12"/>
        <color rgb="FFFF6600"/>
        <rFont val="Symbol"/>
      </rPr>
      <t>γ</t>
    </r>
    <r>
      <rPr>
        <b/>
        <vertAlign val="subscript"/>
        <sz val="12"/>
        <color rgb="FFFF6600"/>
        <rFont val="Comic Sans MS"/>
      </rPr>
      <t>M</t>
    </r>
  </si>
  <si>
    <t xml:space="preserve">3 - Adjust Conditions below:                                                                                              </t>
  </si>
  <si>
    <t>Cu(Cl)3</t>
  </si>
  <si>
    <t>Fe(Cl)2</t>
  </si>
  <si>
    <t>FeF</t>
  </si>
  <si>
    <t>Fe(F)2</t>
  </si>
  <si>
    <t>Fe(F)3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</si>
</sst>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"/>
    <numFmt numFmtId="165" formatCode="0.00000"/>
    <numFmt numFmtId="166" formatCode="0.0000"/>
    <numFmt numFmtId="167" formatCode="0.00000000"/>
    <numFmt numFmtId="168" formatCode="0.0%"/>
  </numFmts>
  <fonts count="36" x14ac:knownFonts="1">
    <font>
      <sz val="12"/>
      <name val="Comic Sans MS"/>
    </font>
    <font>
      <b/>
      <i/>
      <u/>
      <sz val="12"/>
      <name val="Comic Sans MS"/>
      <family val="4"/>
    </font>
    <font>
      <sz val="12"/>
      <name val="Comic Sans MS"/>
      <family val="4"/>
    </font>
    <font>
      <b/>
      <sz val="8"/>
      <color indexed="81"/>
      <name val="Tahoma"/>
    </font>
    <font>
      <b/>
      <i/>
      <u/>
      <vertAlign val="subscript"/>
      <sz val="12"/>
      <name val="Comic Sans MS"/>
      <family val="4"/>
    </font>
    <font>
      <b/>
      <sz val="12"/>
      <name val="Comic Sans MS"/>
      <family val="4"/>
    </font>
    <font>
      <sz val="8"/>
      <name val="Comic Sans MS"/>
    </font>
    <font>
      <sz val="8"/>
      <color indexed="81"/>
      <name val="Tahoma"/>
    </font>
    <font>
      <sz val="12"/>
      <color rgb="FFFF0000"/>
      <name val="Comic Sans MS"/>
    </font>
    <font>
      <sz val="12"/>
      <color rgb="FF008000"/>
      <name val="Comic Sans MS"/>
    </font>
    <font>
      <b/>
      <i/>
      <u/>
      <sz val="12"/>
      <color rgb="FF3366FF"/>
      <name val="Comic Sans MS"/>
    </font>
    <font>
      <sz val="12"/>
      <color rgb="FF3366FF"/>
      <name val="Comic Sans MS"/>
    </font>
    <font>
      <b/>
      <i/>
      <u/>
      <sz val="12"/>
      <color rgb="FFFF0000"/>
      <name val="Comic Sans MS"/>
    </font>
    <font>
      <b/>
      <i/>
      <u/>
      <sz val="12"/>
      <color rgb="FF008000"/>
      <name val="Comic Sans MS"/>
    </font>
    <font>
      <sz val="12"/>
      <color theme="9" tint="-0.249977111117893"/>
      <name val="Comic Sans MS"/>
    </font>
    <font>
      <b/>
      <i/>
      <sz val="12"/>
      <color theme="0"/>
      <name val="Comic Sans MS"/>
    </font>
    <font>
      <sz val="12"/>
      <color rgb="FFFF6600"/>
      <name val="Comic Sans MS"/>
    </font>
    <font>
      <sz val="12"/>
      <color theme="2" tint="-0.499984740745262"/>
      <name val="Comic Sans MS"/>
    </font>
    <font>
      <u/>
      <sz val="12"/>
      <color theme="10"/>
      <name val="Comic Sans MS"/>
    </font>
    <font>
      <u/>
      <sz val="12"/>
      <color theme="11"/>
      <name val="Comic Sans MS"/>
    </font>
    <font>
      <b/>
      <i/>
      <u/>
      <sz val="12"/>
      <color theme="5"/>
      <name val="Comic Sans MS"/>
    </font>
    <font>
      <b/>
      <i/>
      <u/>
      <sz val="12"/>
      <color theme="3" tint="0.39997558519241921"/>
      <name val="Comic Sans MS"/>
    </font>
    <font>
      <b/>
      <i/>
      <sz val="12"/>
      <color theme="6" tint="-0.249977111117893"/>
      <name val="Comic Sans MS"/>
    </font>
    <font>
      <b/>
      <i/>
      <vertAlign val="subscript"/>
      <sz val="12"/>
      <color theme="6" tint="-0.249977111117893"/>
      <name val="Comic Sans MS"/>
    </font>
    <font>
      <b/>
      <i/>
      <u/>
      <sz val="12"/>
      <color theme="6" tint="-0.249977111117893"/>
      <name val="Comic Sans MS"/>
    </font>
    <font>
      <b/>
      <sz val="12"/>
      <name val="Symbol"/>
    </font>
    <font>
      <b/>
      <sz val="12"/>
      <color rgb="FFFF6600"/>
      <name val="Comic Sans MS"/>
    </font>
    <font>
      <b/>
      <vertAlign val="subscript"/>
      <sz val="12"/>
      <color rgb="FFFF6600"/>
      <name val="Comic Sans MS"/>
    </font>
    <font>
      <b/>
      <sz val="12"/>
      <color rgb="FF008000"/>
      <name val="Comic Sans MS"/>
    </font>
    <font>
      <b/>
      <vertAlign val="subscript"/>
      <sz val="12"/>
      <color rgb="FF008000"/>
      <name val="Comic Sans MS"/>
    </font>
    <font>
      <b/>
      <sz val="12"/>
      <color rgb="FF3366FF"/>
      <name val="Comic Sans MS"/>
    </font>
    <font>
      <b/>
      <vertAlign val="subscript"/>
      <sz val="12"/>
      <color rgb="FF3366FF"/>
      <name val="Comic Sans MS"/>
    </font>
    <font>
      <b/>
      <sz val="12"/>
      <color rgb="FF3366FF"/>
      <name val="Symbol"/>
    </font>
    <font>
      <b/>
      <sz val="12"/>
      <color rgb="FF008000"/>
      <name val="Symbol"/>
    </font>
    <font>
      <b/>
      <sz val="12"/>
      <color rgb="FFFF6600"/>
      <name val="Symbol"/>
    </font>
    <font>
      <sz val="11"/>
      <name val="Comic Sans MS"/>
    </font>
  </fonts>
  <fills count="4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0" tint="-0.49998474074526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37">
    <xf numFmtId="0" fontId="0" fillId="0" borderId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110">
    <xf numFmtId="0" fontId="0" fillId="0" borderId="0" xfId="0"/>
    <xf numFmtId="0" fontId="2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2" fontId="2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center"/>
    </xf>
    <xf numFmtId="2" fontId="1" fillId="0" borderId="0" xfId="0" applyNumberFormat="1" applyFont="1" applyFill="1" applyAlignment="1">
      <alignment horizontal="center" vertical="center"/>
    </xf>
    <xf numFmtId="0" fontId="0" fillId="0" borderId="0" xfId="0" applyFont="1" applyFill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 applyFill="1" applyAlignment="1">
      <alignment horizontal="center" vertical="center"/>
    </xf>
    <xf numFmtId="2" fontId="1" fillId="0" borderId="0" xfId="0" applyNumberFormat="1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/>
    </xf>
    <xf numFmtId="167" fontId="9" fillId="0" borderId="0" xfId="0" applyNumberFormat="1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164" fontId="8" fillId="0" borderId="0" xfId="0" applyNumberFormat="1" applyFont="1" applyFill="1" applyBorder="1" applyAlignment="1">
      <alignment horizontal="center"/>
    </xf>
    <xf numFmtId="0" fontId="16" fillId="0" borderId="0" xfId="0" applyFont="1" applyFill="1" applyAlignment="1">
      <alignment horizontal="center" vertical="center"/>
    </xf>
    <xf numFmtId="165" fontId="16" fillId="0" borderId="0" xfId="0" applyNumberFormat="1" applyFont="1" applyFill="1" applyAlignment="1">
      <alignment horizontal="center" vertical="center"/>
    </xf>
    <xf numFmtId="2" fontId="16" fillId="0" borderId="0" xfId="0" applyNumberFormat="1" applyFont="1" applyFill="1" applyAlignment="1">
      <alignment horizontal="center" vertical="center"/>
    </xf>
    <xf numFmtId="10" fontId="16" fillId="0" borderId="0" xfId="0" applyNumberFormat="1" applyFont="1" applyFill="1" applyAlignment="1">
      <alignment horizontal="center" vertical="center"/>
    </xf>
    <xf numFmtId="0" fontId="16" fillId="0" borderId="0" xfId="0" applyFont="1" applyFill="1" applyAlignment="1">
      <alignment horizontal="center"/>
    </xf>
    <xf numFmtId="165" fontId="0" fillId="0" borderId="0" xfId="0" applyNumberFormat="1" applyFont="1" applyFill="1" applyAlignment="1">
      <alignment horizontal="center" vertical="center"/>
    </xf>
    <xf numFmtId="2" fontId="0" fillId="0" borderId="0" xfId="0" applyNumberFormat="1" applyFont="1" applyFill="1" applyAlignment="1">
      <alignment horizontal="center" vertical="center"/>
    </xf>
    <xf numFmtId="10" fontId="0" fillId="0" borderId="0" xfId="0" applyNumberFormat="1" applyFont="1" applyFill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165" fontId="9" fillId="0" borderId="0" xfId="0" applyNumberFormat="1" applyFont="1" applyFill="1" applyAlignment="1">
      <alignment horizontal="center" vertical="center"/>
    </xf>
    <xf numFmtId="10" fontId="9" fillId="0" borderId="0" xfId="0" applyNumberFormat="1" applyFont="1" applyFill="1" applyAlignment="1">
      <alignment horizontal="center" vertical="center"/>
    </xf>
    <xf numFmtId="2" fontId="2" fillId="0" borderId="0" xfId="0" applyNumberFormat="1" applyFont="1" applyFill="1" applyAlignment="1">
      <alignment horizontal="center"/>
    </xf>
    <xf numFmtId="0" fontId="2" fillId="0" borderId="1" xfId="0" applyFont="1" applyFill="1" applyBorder="1" applyAlignment="1">
      <alignment horizontal="left" vertical="center"/>
    </xf>
    <xf numFmtId="0" fontId="5" fillId="0" borderId="0" xfId="0" applyFont="1" applyFill="1" applyAlignment="1">
      <alignment horizontal="left" vertical="center" wrapText="1"/>
    </xf>
    <xf numFmtId="0" fontId="2" fillId="0" borderId="0" xfId="0" applyFont="1" applyFill="1" applyAlignment="1">
      <alignment horizontal="left" vertical="center" wrapText="1"/>
    </xf>
    <xf numFmtId="0" fontId="2" fillId="0" borderId="0" xfId="0" applyFont="1" applyFill="1" applyAlignment="1">
      <alignment horizontal="left" vertical="center"/>
    </xf>
    <xf numFmtId="10" fontId="2" fillId="0" borderId="0" xfId="0" applyNumberFormat="1" applyFont="1" applyFill="1" applyAlignment="1">
      <alignment horizontal="center" vertical="center"/>
    </xf>
    <xf numFmtId="164" fontId="0" fillId="0" borderId="0" xfId="0" applyNumberFormat="1" applyFont="1" applyFill="1" applyAlignment="1">
      <alignment horizontal="center" vertical="center"/>
    </xf>
    <xf numFmtId="2" fontId="5" fillId="0" borderId="0" xfId="0" applyNumberFormat="1" applyFont="1" applyFill="1" applyAlignment="1">
      <alignment horizontal="center" vertical="center"/>
    </xf>
    <xf numFmtId="165" fontId="2" fillId="0" borderId="0" xfId="0" applyNumberFormat="1" applyFont="1" applyFill="1" applyAlignment="1">
      <alignment horizontal="center" vertical="center"/>
    </xf>
    <xf numFmtId="165" fontId="5" fillId="0" borderId="0" xfId="0" applyNumberFormat="1" applyFont="1" applyFill="1" applyAlignment="1">
      <alignment horizontal="center" vertical="center"/>
    </xf>
    <xf numFmtId="165" fontId="2" fillId="0" borderId="0" xfId="0" applyNumberFormat="1" applyFont="1" applyFill="1" applyAlignment="1">
      <alignment horizontal="center"/>
    </xf>
    <xf numFmtId="164" fontId="2" fillId="0" borderId="0" xfId="0" applyNumberFormat="1" applyFont="1" applyFill="1" applyAlignment="1">
      <alignment horizontal="center" vertical="center"/>
    </xf>
    <xf numFmtId="166" fontId="2" fillId="0" borderId="0" xfId="0" applyNumberFormat="1" applyFont="1" applyFill="1" applyAlignment="1">
      <alignment horizontal="center"/>
    </xf>
    <xf numFmtId="164" fontId="11" fillId="0" borderId="0" xfId="0" applyNumberFormat="1" applyFont="1" applyFill="1" applyAlignment="1">
      <alignment horizontal="center" vertical="center"/>
    </xf>
    <xf numFmtId="164" fontId="17" fillId="0" borderId="0" xfId="0" applyNumberFormat="1" applyFont="1" applyFill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15" fillId="0" borderId="7" xfId="0" applyFont="1" applyFill="1" applyBorder="1" applyAlignment="1">
      <alignment horizontal="center" vertical="center" wrapText="1"/>
    </xf>
    <xf numFmtId="0" fontId="16" fillId="0" borderId="8" xfId="0" applyFont="1" applyFill="1" applyBorder="1" applyAlignment="1">
      <alignment horizontal="center" vertical="center"/>
    </xf>
    <xf numFmtId="0" fontId="16" fillId="0" borderId="9" xfId="0" applyFont="1" applyFill="1" applyBorder="1" applyAlignment="1">
      <alignment horizontal="center" vertical="center"/>
    </xf>
    <xf numFmtId="0" fontId="9" fillId="0" borderId="8" xfId="0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 vertical="center"/>
    </xf>
    <xf numFmtId="10" fontId="9" fillId="0" borderId="10" xfId="0" applyNumberFormat="1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1" fillId="0" borderId="9" xfId="0" applyFont="1" applyFill="1" applyBorder="1" applyAlignment="1">
      <alignment horizontal="center" vertical="center"/>
    </xf>
    <xf numFmtId="0" fontId="17" fillId="0" borderId="8" xfId="0" applyFont="1" applyFill="1" applyBorder="1" applyAlignment="1">
      <alignment horizontal="center" vertical="center"/>
    </xf>
    <xf numFmtId="164" fontId="17" fillId="0" borderId="9" xfId="0" applyNumberFormat="1" applyFont="1" applyFill="1" applyBorder="1" applyAlignment="1">
      <alignment horizontal="center" vertical="center"/>
    </xf>
    <xf numFmtId="164" fontId="17" fillId="0" borderId="10" xfId="0" applyNumberFormat="1" applyFont="1" applyFill="1" applyBorder="1" applyAlignment="1">
      <alignment horizontal="center" vertical="center"/>
    </xf>
    <xf numFmtId="0" fontId="0" fillId="3" borderId="0" xfId="0" applyFont="1" applyFill="1" applyAlignment="1">
      <alignment horizontal="center" vertical="center"/>
    </xf>
    <xf numFmtId="10" fontId="0" fillId="3" borderId="0" xfId="0" applyNumberFormat="1" applyFont="1" applyFill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Alignment="1">
      <alignment horizontal="center" vertical="center"/>
    </xf>
    <xf numFmtId="164" fontId="0" fillId="3" borderId="0" xfId="0" applyNumberFormat="1" applyFont="1" applyFill="1" applyAlignment="1">
      <alignment horizontal="center" vertical="center"/>
    </xf>
    <xf numFmtId="164" fontId="2" fillId="3" borderId="0" xfId="0" applyNumberFormat="1" applyFont="1" applyFill="1" applyAlignment="1">
      <alignment horizontal="center" vertical="center"/>
    </xf>
    <xf numFmtId="2" fontId="11" fillId="0" borderId="0" xfId="0" applyNumberFormat="1" applyFont="1" applyFill="1" applyBorder="1" applyAlignment="1">
      <alignment horizontal="center" vertical="center"/>
    </xf>
    <xf numFmtId="164" fontId="8" fillId="0" borderId="0" xfId="0" applyNumberFormat="1" applyFont="1" applyFill="1" applyBorder="1" applyAlignment="1">
      <alignment horizontal="center" vertical="center"/>
    </xf>
    <xf numFmtId="167" fontId="9" fillId="0" borderId="0" xfId="0" applyNumberFormat="1" applyFont="1" applyFill="1" applyBorder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0" fillId="0" borderId="0" xfId="0" applyFont="1" applyFill="1" applyAlignment="1">
      <alignment horizontal="center" vertical="center"/>
    </xf>
    <xf numFmtId="0" fontId="21" fillId="0" borderId="0" xfId="0" applyFont="1" applyFill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0" fontId="22" fillId="0" borderId="0" xfId="0" applyFont="1" applyFill="1" applyAlignment="1">
      <alignment horizontal="center"/>
    </xf>
    <xf numFmtId="0" fontId="24" fillId="0" borderId="0" xfId="0" applyFont="1" applyFill="1" applyAlignment="1">
      <alignment horizontal="center"/>
    </xf>
    <xf numFmtId="2" fontId="8" fillId="0" borderId="0" xfId="0" applyNumberFormat="1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25" fillId="0" borderId="0" xfId="0" applyFont="1" applyFill="1" applyAlignment="1">
      <alignment horizontal="center" vertical="center"/>
    </xf>
    <xf numFmtId="0" fontId="26" fillId="0" borderId="10" xfId="0" applyFont="1" applyFill="1" applyBorder="1" applyAlignment="1">
      <alignment horizontal="center" vertical="center"/>
    </xf>
    <xf numFmtId="0" fontId="28" fillId="0" borderId="11" xfId="0" applyFont="1" applyFill="1" applyBorder="1" applyAlignment="1">
      <alignment horizontal="center" vertical="center"/>
    </xf>
    <xf numFmtId="0" fontId="30" fillId="0" borderId="10" xfId="0" applyFont="1" applyFill="1" applyBorder="1" applyAlignment="1">
      <alignment horizontal="center" vertical="center"/>
    </xf>
    <xf numFmtId="10" fontId="1" fillId="0" borderId="0" xfId="0" applyNumberFormat="1" applyFont="1" applyFill="1" applyAlignment="1">
      <alignment horizontal="center" vertical="center"/>
    </xf>
    <xf numFmtId="165" fontId="25" fillId="0" borderId="0" xfId="0" applyNumberFormat="1" applyFont="1" applyFill="1" applyAlignment="1">
      <alignment horizontal="center" vertical="center"/>
    </xf>
    <xf numFmtId="0" fontId="2" fillId="0" borderId="0" xfId="0" applyFont="1" applyFill="1" applyBorder="1" applyAlignment="1">
      <alignment horizontal="left" vertical="center"/>
    </xf>
    <xf numFmtId="11" fontId="35" fillId="0" borderId="0" xfId="0" applyNumberFormat="1" applyFont="1" applyFill="1" applyAlignment="1">
      <alignment horizontal="center"/>
    </xf>
    <xf numFmtId="166" fontId="16" fillId="0" borderId="0" xfId="0" applyNumberFormat="1" applyFont="1" applyFill="1" applyAlignment="1">
      <alignment horizontal="center" vertical="center"/>
    </xf>
    <xf numFmtId="166" fontId="16" fillId="0" borderId="0" xfId="0" applyNumberFormat="1" applyFont="1" applyFill="1" applyAlignment="1">
      <alignment horizontal="center"/>
    </xf>
    <xf numFmtId="166" fontId="9" fillId="0" borderId="0" xfId="0" applyNumberFormat="1" applyFont="1" applyFill="1" applyAlignment="1">
      <alignment horizontal="center" vertical="center"/>
    </xf>
    <xf numFmtId="166" fontId="1" fillId="0" borderId="0" xfId="0" applyNumberFormat="1" applyFont="1" applyFill="1" applyAlignment="1">
      <alignment horizontal="center" vertical="center"/>
    </xf>
    <xf numFmtId="166" fontId="0" fillId="0" borderId="0" xfId="0" applyNumberFormat="1" applyFont="1" applyFill="1" applyAlignment="1">
      <alignment horizontal="center" vertical="center"/>
    </xf>
    <xf numFmtId="166" fontId="11" fillId="0" borderId="0" xfId="0" applyNumberFormat="1" applyFont="1" applyFill="1" applyAlignment="1">
      <alignment horizontal="center" vertical="center"/>
    </xf>
    <xf numFmtId="168" fontId="0" fillId="0" borderId="0" xfId="0" applyNumberFormat="1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2" fillId="0" borderId="0" xfId="0" applyFont="1" applyFill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5" fillId="0" borderId="0" xfId="0" applyFont="1" applyFill="1" applyAlignment="1">
      <alignment horizontal="left" vertical="center" wrapText="1"/>
    </xf>
    <xf numFmtId="0" fontId="5" fillId="0" borderId="2" xfId="0" applyFont="1" applyFill="1" applyBorder="1" applyAlignment="1">
      <alignment horizontal="left" vertical="center" wrapText="1"/>
    </xf>
    <xf numFmtId="0" fontId="12" fillId="0" borderId="2" xfId="0" applyFont="1" applyFill="1" applyBorder="1" applyAlignment="1">
      <alignment horizontal="center" vertical="center"/>
    </xf>
    <xf numFmtId="164" fontId="8" fillId="0" borderId="0" xfId="0" applyNumberFormat="1" applyFont="1" applyFill="1" applyBorder="1" applyAlignment="1">
      <alignment horizontal="center"/>
    </xf>
    <xf numFmtId="2" fontId="11" fillId="0" borderId="0" xfId="0" applyNumberFormat="1" applyFont="1" applyFill="1" applyBorder="1" applyAlignment="1">
      <alignment horizontal="center"/>
    </xf>
    <xf numFmtId="0" fontId="15" fillId="2" borderId="3" xfId="0" applyFont="1" applyFill="1" applyBorder="1" applyAlignment="1">
      <alignment horizontal="center" vertical="center" wrapText="1"/>
    </xf>
    <xf numFmtId="0" fontId="15" fillId="2" borderId="4" xfId="0" applyFont="1" applyFill="1" applyBorder="1" applyAlignment="1">
      <alignment horizontal="center" vertical="center" wrapText="1"/>
    </xf>
    <xf numFmtId="164" fontId="15" fillId="2" borderId="5" xfId="0" applyNumberFormat="1" applyFont="1" applyFill="1" applyBorder="1" applyAlignment="1">
      <alignment horizontal="center" vertical="center" wrapText="1"/>
    </xf>
    <xf numFmtId="0" fontId="15" fillId="2" borderId="6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left" vertical="center" wrapText="1"/>
    </xf>
  </cellXfs>
  <cellStyles count="3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G264"/>
  <sheetViews>
    <sheetView tabSelected="1" workbookViewId="0">
      <selection activeCell="J34" sqref="J34"/>
    </sheetView>
  </sheetViews>
  <sheetFormatPr defaultColWidth="8.69921875" defaultRowHeight="19.5" x14ac:dyDescent="0.4"/>
  <cols>
    <col min="1" max="1" width="22.8984375" style="4" customWidth="1"/>
    <col min="2" max="2" width="7.19921875" style="4" customWidth="1"/>
    <col min="3" max="3" width="11.09765625" style="4" customWidth="1"/>
    <col min="4" max="4" width="3.59765625" style="4" customWidth="1"/>
    <col min="5" max="5" width="8.69921875" style="4"/>
    <col min="6" max="6" width="7.09765625" style="4" customWidth="1"/>
    <col min="7" max="7" width="9.69921875" style="4" customWidth="1"/>
    <col min="8" max="8" width="2.3984375" style="4" hidden="1" customWidth="1"/>
    <col min="9" max="9" width="2.3984375" style="4" customWidth="1"/>
    <col min="10" max="10" width="12.8984375" style="4" customWidth="1"/>
    <col min="11" max="11" width="7.19921875" style="1" customWidth="1"/>
    <col min="12" max="12" width="12.3984375" style="1" customWidth="1"/>
    <col min="13" max="13" width="14.19921875" style="1" customWidth="1"/>
    <col min="14" max="14" width="2.59765625" style="1" customWidth="1"/>
    <col min="15" max="15" width="11.19921875" style="1" customWidth="1"/>
    <col min="16" max="16" width="9.3984375" style="1" customWidth="1"/>
    <col min="17" max="17" width="9.8984375" style="1" customWidth="1"/>
    <col min="18" max="18" width="2.09765625" style="1" customWidth="1"/>
    <col min="19" max="19" width="9.8984375" style="1" customWidth="1"/>
    <col min="20" max="20" width="8.59765625" style="38" customWidth="1"/>
    <col min="21" max="22" width="7.69921875" style="38" customWidth="1"/>
    <col min="23" max="23" width="1.69921875" style="61" customWidth="1"/>
    <col min="24" max="24" width="5.3984375" style="65" bestFit="1" customWidth="1"/>
    <col min="25" max="25" width="9.19921875" style="8" bestFit="1" customWidth="1"/>
    <col min="26" max="26" width="5" style="8" bestFit="1" customWidth="1"/>
    <col min="27" max="27" width="5.8984375" style="8" bestFit="1" customWidth="1"/>
    <col min="28" max="28" width="5.09765625" style="8" bestFit="1" customWidth="1"/>
    <col min="29" max="29" width="9.3984375" style="8" bestFit="1" customWidth="1"/>
    <col min="30" max="30" width="1.59765625" style="8" customWidth="1"/>
    <col min="31" max="31" width="6.19921875" style="74" customWidth="1"/>
    <col min="32" max="32" width="9.19921875" style="8" bestFit="1" customWidth="1"/>
    <col min="33" max="33" width="5" style="8" bestFit="1" customWidth="1"/>
    <col min="34" max="34" width="6.59765625" style="8" bestFit="1" customWidth="1"/>
    <col min="35" max="35" width="5.09765625" style="8" bestFit="1" customWidth="1"/>
    <col min="36" max="36" width="9.3984375" style="8" bestFit="1" customWidth="1"/>
    <col min="37" max="37" width="5.3984375" style="1" customWidth="1"/>
    <col min="38" max="38" width="7.19921875" style="1" customWidth="1"/>
    <col min="39" max="39" width="9.69921875" style="4" customWidth="1"/>
    <col min="40" max="40" width="7.8984375" style="4" customWidth="1"/>
    <col min="41" max="41" width="4.5" style="4" customWidth="1"/>
    <col min="42" max="42" width="7.19921875" style="4" customWidth="1"/>
    <col min="43" max="43" width="5.3984375" style="4" customWidth="1"/>
    <col min="44" max="44" width="9.69921875" style="4" customWidth="1"/>
    <col min="45" max="45" width="8.69921875" style="4"/>
    <col min="46" max="46" width="5" style="4" customWidth="1"/>
    <col min="47" max="47" width="7.19921875" style="4" customWidth="1"/>
    <col min="48" max="48" width="5.3984375" style="4" customWidth="1"/>
    <col min="49" max="49" width="9.69921875" style="4" customWidth="1"/>
    <col min="50" max="50" width="8.8984375" style="4" customWidth="1"/>
    <col min="51" max="51" width="5" style="4" customWidth="1"/>
    <col min="52" max="52" width="7.19921875" style="4" customWidth="1"/>
    <col min="53" max="53" width="5.3984375" style="4" customWidth="1"/>
    <col min="54" max="54" width="9.69921875" style="4" customWidth="1"/>
    <col min="55" max="55" width="10.5" style="4" customWidth="1"/>
    <col min="56" max="56" width="5.19921875" style="4" customWidth="1"/>
    <col min="57" max="57" width="7.19921875" style="4" customWidth="1"/>
    <col min="58" max="58" width="5.3984375" style="4" customWidth="1"/>
    <col min="59" max="59" width="9.69921875" style="4" customWidth="1"/>
    <col min="60" max="60" width="8.09765625" style="4" customWidth="1"/>
    <col min="61" max="61" width="5" style="4" customWidth="1"/>
    <col min="62" max="62" width="7.19921875" style="4" customWidth="1"/>
    <col min="63" max="63" width="5.3984375" style="4" customWidth="1"/>
    <col min="64" max="64" width="9.69921875" style="4" customWidth="1"/>
    <col min="65" max="65" width="8.09765625" style="4" customWidth="1"/>
    <col min="66" max="66" width="5" style="4" customWidth="1"/>
    <col min="67" max="67" width="7.19921875" style="4" customWidth="1"/>
    <col min="68" max="68" width="5.3984375" style="4" customWidth="1"/>
    <col min="69" max="69" width="9.69921875" style="4" customWidth="1"/>
    <col min="70" max="70" width="8.8984375" style="4" customWidth="1"/>
    <col min="71" max="71" width="5" style="4" customWidth="1"/>
    <col min="72" max="72" width="7.19921875" style="4" customWidth="1"/>
    <col min="73" max="73" width="5.3984375" style="4" customWidth="1"/>
    <col min="74" max="74" width="9.69921875" style="4" customWidth="1"/>
    <col min="75" max="75" width="6.8984375" style="4" customWidth="1"/>
    <col min="76" max="76" width="4.5" style="4" customWidth="1"/>
    <col min="77" max="77" width="5.69921875" style="4" customWidth="1"/>
    <col min="78" max="78" width="5.3984375" style="4" customWidth="1"/>
    <col min="79" max="79" width="9.69921875" style="4" customWidth="1"/>
    <col min="80" max="80" width="6.8984375" style="4" customWidth="1"/>
    <col min="81" max="81" width="4.5" style="4" customWidth="1"/>
    <col min="82" max="82" width="5.69921875" style="4" customWidth="1"/>
    <col min="83" max="83" width="5.3984375" style="4" customWidth="1"/>
    <col min="84" max="84" width="9.69921875" style="4" customWidth="1"/>
    <col min="85" max="16384" width="8.69921875" style="4"/>
  </cols>
  <sheetData>
    <row r="1" spans="1:85" s="1" customFormat="1" ht="20.25" thickBot="1" x14ac:dyDescent="0.45">
      <c r="A1" s="2" t="s">
        <v>363</v>
      </c>
      <c r="B1" s="105" t="s">
        <v>367</v>
      </c>
      <c r="C1" s="106"/>
      <c r="D1" s="45"/>
      <c r="E1" s="46" t="s">
        <v>409</v>
      </c>
      <c r="F1" s="47" t="s">
        <v>2</v>
      </c>
      <c r="G1" s="81" t="s">
        <v>414</v>
      </c>
      <c r="H1" s="8"/>
      <c r="I1" s="8"/>
      <c r="J1" s="48" t="s">
        <v>410</v>
      </c>
      <c r="K1" s="49" t="s">
        <v>2</v>
      </c>
      <c r="L1" s="82" t="s">
        <v>413</v>
      </c>
      <c r="M1" s="50" t="s">
        <v>3</v>
      </c>
      <c r="N1" s="8"/>
      <c r="O1" s="51" t="s">
        <v>4</v>
      </c>
      <c r="P1" s="52" t="s">
        <v>2</v>
      </c>
      <c r="Q1" s="83" t="s">
        <v>412</v>
      </c>
      <c r="R1" s="8"/>
      <c r="S1" s="53" t="s">
        <v>5</v>
      </c>
      <c r="T1" s="54" t="s">
        <v>6</v>
      </c>
      <c r="U1" s="54" t="s">
        <v>7</v>
      </c>
      <c r="V1" s="55" t="s">
        <v>8</v>
      </c>
      <c r="W1" s="58"/>
      <c r="X1" s="65"/>
      <c r="Y1" s="8" t="s">
        <v>9</v>
      </c>
      <c r="Z1" s="8" t="s">
        <v>10</v>
      </c>
      <c r="AA1" s="80" t="s">
        <v>411</v>
      </c>
      <c r="AB1" s="8" t="s">
        <v>11</v>
      </c>
      <c r="AC1" s="8" t="s">
        <v>12</v>
      </c>
      <c r="AD1" s="56"/>
      <c r="AE1" s="74"/>
      <c r="AF1" s="8" t="s">
        <v>9</v>
      </c>
      <c r="AG1" s="8" t="s">
        <v>10</v>
      </c>
      <c r="AH1" s="80" t="s">
        <v>411</v>
      </c>
      <c r="AI1" s="8" t="s">
        <v>11</v>
      </c>
      <c r="AJ1" s="8" t="s">
        <v>12</v>
      </c>
    </row>
    <row r="2" spans="1:85" ht="18" customHeight="1" thickBot="1" x14ac:dyDescent="0.45">
      <c r="A2" s="27"/>
      <c r="B2" s="107"/>
      <c r="C2" s="108"/>
      <c r="D2" s="44"/>
      <c r="E2" s="5" t="s">
        <v>13</v>
      </c>
      <c r="F2" s="88">
        <v>9.4317211792512102E-5</v>
      </c>
      <c r="G2" s="88">
        <v>0.19278492036101441</v>
      </c>
      <c r="H2" s="21"/>
      <c r="I2" s="21"/>
      <c r="J2" s="5" t="s">
        <v>14</v>
      </c>
      <c r="K2" s="90">
        <v>0.56577267769259099</v>
      </c>
      <c r="L2" s="90">
        <v>0.69216165075282776</v>
      </c>
      <c r="M2" s="26">
        <v>0.99999995569500899</v>
      </c>
      <c r="N2" s="91"/>
      <c r="O2" s="84" t="s">
        <v>15</v>
      </c>
      <c r="P2" s="40"/>
      <c r="Q2" s="93">
        <v>1.0145837628071672</v>
      </c>
      <c r="R2" s="8"/>
      <c r="S2" s="34" t="s">
        <v>16</v>
      </c>
      <c r="T2" s="41">
        <v>1.5457807400137287</v>
      </c>
      <c r="U2" s="41">
        <v>5.8259782914066696</v>
      </c>
      <c r="V2" s="41">
        <v>8.9519161354322581</v>
      </c>
      <c r="W2" s="59"/>
      <c r="X2" s="95" t="s">
        <v>17</v>
      </c>
      <c r="Y2" s="2" t="s">
        <v>17</v>
      </c>
      <c r="Z2" s="22"/>
      <c r="AA2" s="92">
        <v>0.18758622138358408</v>
      </c>
      <c r="AB2" s="22"/>
      <c r="AC2" s="94">
        <v>0.68062162399291992</v>
      </c>
      <c r="AD2" s="57"/>
      <c r="AE2" s="97" t="s">
        <v>18</v>
      </c>
      <c r="AF2" s="2" t="s">
        <v>18</v>
      </c>
      <c r="AG2" s="22"/>
      <c r="AH2" s="92">
        <v>4.7611173624176863E-2</v>
      </c>
      <c r="AI2" s="22"/>
      <c r="AJ2" s="94">
        <v>0.28232643008232117</v>
      </c>
      <c r="BV2" s="32"/>
      <c r="BW2" s="2"/>
      <c r="BX2" s="3"/>
      <c r="BY2" s="35"/>
      <c r="BZ2" s="3"/>
      <c r="CA2" s="32"/>
      <c r="CB2" s="2"/>
      <c r="CC2" s="3"/>
      <c r="CD2" s="35"/>
      <c r="CE2" s="3"/>
      <c r="CF2" s="32"/>
      <c r="CG2" s="1"/>
    </row>
    <row r="3" spans="1:85" ht="17.100000000000001" customHeight="1" x14ac:dyDescent="0.4">
      <c r="A3" s="100" t="s">
        <v>364</v>
      </c>
      <c r="B3" s="99" t="s">
        <v>0</v>
      </c>
      <c r="C3" s="99"/>
      <c r="D3" s="76"/>
      <c r="E3" s="5" t="s">
        <v>19</v>
      </c>
      <c r="F3" s="88">
        <v>0.48609639923833198</v>
      </c>
      <c r="G3" s="88">
        <v>0.63911798880079662</v>
      </c>
      <c r="H3" s="21"/>
      <c r="I3" s="21"/>
      <c r="J3" s="5" t="s">
        <v>20</v>
      </c>
      <c r="K3" s="90">
        <v>2.9267356336230298E-2</v>
      </c>
      <c r="L3" s="90">
        <v>0.11394265565462659</v>
      </c>
      <c r="M3" s="26">
        <v>0.99999999911477733</v>
      </c>
      <c r="N3" s="91"/>
      <c r="O3" s="84" t="s">
        <v>21</v>
      </c>
      <c r="P3" s="40"/>
      <c r="Q3" s="93">
        <v>1.0074416835784838</v>
      </c>
      <c r="R3" s="8"/>
      <c r="S3" s="34" t="s">
        <v>22</v>
      </c>
      <c r="T3" s="41">
        <v>6.526923129363964</v>
      </c>
      <c r="U3" s="41" t="s">
        <v>23</v>
      </c>
      <c r="V3" s="41" t="s">
        <v>23</v>
      </c>
      <c r="W3" s="59"/>
      <c r="X3" s="96"/>
      <c r="Y3" s="2" t="s">
        <v>24</v>
      </c>
      <c r="Z3" s="22">
        <v>3.3999999635833906</v>
      </c>
      <c r="AA3" s="92">
        <v>0.6969298779768599</v>
      </c>
      <c r="AB3" s="22">
        <v>2.268174894919587</v>
      </c>
      <c r="AC3" s="94">
        <v>4.614509025314881E-4</v>
      </c>
      <c r="AD3" s="57"/>
      <c r="AE3" s="96"/>
      <c r="AF3" s="2" t="s">
        <v>25</v>
      </c>
      <c r="AG3" s="22">
        <v>5.1000003683847766</v>
      </c>
      <c r="AH3" s="92">
        <v>0.19382115435150776</v>
      </c>
      <c r="AI3" s="22">
        <v>3.9284711591260288</v>
      </c>
      <c r="AJ3" s="94">
        <v>8.7552299637797069E-3</v>
      </c>
      <c r="BV3" s="32"/>
      <c r="BW3" s="2"/>
      <c r="BX3" s="3"/>
      <c r="BY3" s="35"/>
      <c r="BZ3" s="3"/>
      <c r="CA3" s="32"/>
      <c r="CB3" s="2"/>
      <c r="CC3" s="3"/>
      <c r="CD3" s="35"/>
      <c r="CE3" s="3"/>
      <c r="CF3" s="32"/>
      <c r="CG3" s="1"/>
    </row>
    <row r="4" spans="1:85" ht="17.100000000000001" customHeight="1" x14ac:dyDescent="0.4">
      <c r="A4" s="100"/>
      <c r="B4" s="104">
        <v>25</v>
      </c>
      <c r="C4" s="104"/>
      <c r="D4" s="62"/>
      <c r="E4" s="5" t="s">
        <v>26</v>
      </c>
      <c r="F4" s="88">
        <v>1.05780380610371E-2</v>
      </c>
      <c r="G4" s="88">
        <v>0.59571955911397179</v>
      </c>
      <c r="H4" s="21"/>
      <c r="I4" s="21"/>
      <c r="J4" s="5" t="s">
        <v>27</v>
      </c>
      <c r="K4" s="90">
        <v>1.99517178791852E-4</v>
      </c>
      <c r="L4" s="90">
        <v>4.3348510347397111E-2</v>
      </c>
      <c r="M4" s="26">
        <v>0.43129882357006077</v>
      </c>
      <c r="N4" s="91"/>
      <c r="O4" s="84" t="s">
        <v>28</v>
      </c>
      <c r="P4" s="40"/>
      <c r="Q4" s="93">
        <v>1.0829026962579369</v>
      </c>
      <c r="R4" s="8"/>
      <c r="S4" s="34" t="s">
        <v>28</v>
      </c>
      <c r="T4" s="41">
        <v>1.5997733324187471</v>
      </c>
      <c r="U4" s="41">
        <v>5.9547055513408029</v>
      </c>
      <c r="V4" s="41">
        <v>8.7823519435679653</v>
      </c>
      <c r="W4" s="59"/>
      <c r="X4" s="96"/>
      <c r="Y4" s="2" t="s">
        <v>29</v>
      </c>
      <c r="Z4" s="22">
        <v>5.7799999362750807</v>
      </c>
      <c r="AA4" s="92">
        <v>2.190215629630643</v>
      </c>
      <c r="AB4" s="22">
        <v>3.5890401567820587</v>
      </c>
      <c r="AC4" s="94">
        <v>3.5321214123211012E-8</v>
      </c>
      <c r="AD4" s="57"/>
      <c r="AE4" s="96"/>
      <c r="AF4" s="2" t="s">
        <v>30</v>
      </c>
      <c r="AG4" s="22">
        <v>2.02</v>
      </c>
      <c r="AH4" s="92">
        <v>0.19382115435150776</v>
      </c>
      <c r="AI4" s="22">
        <v>1.1834152022051456</v>
      </c>
      <c r="AJ4" s="94">
        <v>7.9894197851613016E-3</v>
      </c>
      <c r="BV4" s="32"/>
      <c r="BW4" s="2"/>
      <c r="BX4" s="3"/>
      <c r="BY4" s="35"/>
      <c r="BZ4" s="3"/>
      <c r="CA4" s="32"/>
      <c r="CB4" s="2"/>
      <c r="CC4" s="3"/>
      <c r="CD4" s="35"/>
      <c r="CE4" s="3"/>
      <c r="CF4" s="32"/>
      <c r="CG4" s="1"/>
    </row>
    <row r="5" spans="1:85" ht="17.100000000000001" customHeight="1" x14ac:dyDescent="0.4">
      <c r="A5" s="28"/>
      <c r="B5" s="7"/>
      <c r="C5" s="7"/>
      <c r="D5" s="10"/>
      <c r="E5" s="5" t="s">
        <v>31</v>
      </c>
      <c r="F5" s="88">
        <v>5.4743886275415397E-2</v>
      </c>
      <c r="G5" s="88">
        <v>0.20324034402458679</v>
      </c>
      <c r="H5" s="21"/>
      <c r="I5" s="21"/>
      <c r="J5" s="5" t="s">
        <v>32</v>
      </c>
      <c r="K5" s="90">
        <v>1.9262476716086099E-3</v>
      </c>
      <c r="L5" s="90">
        <v>0.59307209595134258</v>
      </c>
      <c r="M5" s="26">
        <v>1.0000000067626627</v>
      </c>
      <c r="N5" s="91"/>
      <c r="O5" s="84" t="s">
        <v>22</v>
      </c>
      <c r="P5" s="40"/>
      <c r="Q5" s="93">
        <v>1.1141449143703368</v>
      </c>
      <c r="R5" s="8"/>
      <c r="S5" s="34" t="s">
        <v>33</v>
      </c>
      <c r="T5" s="41">
        <v>9.2280924430184328</v>
      </c>
      <c r="U5" s="41" t="s">
        <v>23</v>
      </c>
      <c r="V5" s="41" t="s">
        <v>23</v>
      </c>
      <c r="W5" s="59"/>
      <c r="X5" s="96"/>
      <c r="Y5" s="2" t="s">
        <v>34</v>
      </c>
      <c r="Z5" s="22">
        <v>1.28</v>
      </c>
      <c r="AA5" s="92">
        <v>1.3217141877994476</v>
      </c>
      <c r="AB5" s="22">
        <v>0.20517087438200909</v>
      </c>
      <c r="AC5" s="94">
        <v>2.0250004271718338E-3</v>
      </c>
      <c r="AD5" s="57"/>
      <c r="AE5" s="96"/>
      <c r="AF5" s="2" t="s">
        <v>35</v>
      </c>
      <c r="AG5" s="22">
        <v>6.82</v>
      </c>
      <c r="AH5" s="92">
        <v>0.88296610682236565</v>
      </c>
      <c r="AI5" s="22">
        <v>4.1887390315276383</v>
      </c>
      <c r="AJ5" s="94">
        <v>0.49057067840847468</v>
      </c>
      <c r="BV5" s="32"/>
      <c r="BW5" s="2"/>
      <c r="BX5" s="3"/>
      <c r="BY5" s="35"/>
      <c r="BZ5" s="3"/>
      <c r="CA5" s="32"/>
      <c r="CB5" s="2"/>
      <c r="CC5" s="3"/>
      <c r="CD5" s="35"/>
      <c r="CE5" s="3"/>
      <c r="CF5" s="32"/>
      <c r="CG5" s="1"/>
    </row>
    <row r="6" spans="1:85" ht="17.100000000000001" customHeight="1" x14ac:dyDescent="0.4">
      <c r="A6" s="101" t="s">
        <v>365</v>
      </c>
      <c r="B6" s="102" t="s">
        <v>1</v>
      </c>
      <c r="C6" s="102"/>
      <c r="D6" s="42"/>
      <c r="E6" s="5" t="s">
        <v>36</v>
      </c>
      <c r="F6" s="88">
        <v>1.06578449325539E-2</v>
      </c>
      <c r="G6" s="88">
        <v>0.19744501912830778</v>
      </c>
      <c r="H6" s="21"/>
      <c r="I6" s="21"/>
      <c r="J6" s="5" t="s">
        <v>37</v>
      </c>
      <c r="K6" s="90">
        <v>8.7062041654626505E-4</v>
      </c>
      <c r="L6" s="90">
        <v>0.71477044901355213</v>
      </c>
      <c r="M6" s="26"/>
      <c r="N6" s="91"/>
      <c r="O6" s="2" t="s">
        <v>38</v>
      </c>
      <c r="P6" s="40"/>
      <c r="Q6" s="93">
        <v>1.0375057516472239</v>
      </c>
      <c r="R6" s="8"/>
      <c r="S6" s="34" t="s">
        <v>39</v>
      </c>
      <c r="T6" s="41">
        <v>1.0089681575636762</v>
      </c>
      <c r="U6" s="41" t="s">
        <v>23</v>
      </c>
      <c r="V6" s="41" t="s">
        <v>23</v>
      </c>
      <c r="W6" s="59"/>
      <c r="X6" s="96"/>
      <c r="Y6" s="2" t="s">
        <v>40</v>
      </c>
      <c r="Z6" s="22">
        <v>4.0999998963394875</v>
      </c>
      <c r="AA6" s="92">
        <v>1.3771277643359572</v>
      </c>
      <c r="AB6" s="22">
        <v>1.8712007751983455</v>
      </c>
      <c r="AC6" s="94">
        <v>5.6926900265688975E-3</v>
      </c>
      <c r="AD6" s="57"/>
      <c r="AE6" s="96"/>
      <c r="AF6" s="2" t="s">
        <v>41</v>
      </c>
      <c r="AG6" s="22">
        <v>11.31</v>
      </c>
      <c r="AH6" s="92">
        <v>0.88296610682236565</v>
      </c>
      <c r="AI6" s="22">
        <v>7.315713209256332</v>
      </c>
      <c r="AJ6" s="94">
        <v>7.3941249106686077E-2</v>
      </c>
      <c r="BV6" s="32"/>
      <c r="BW6" s="2"/>
      <c r="BX6" s="3"/>
      <c r="BY6" s="35"/>
      <c r="BZ6" s="3"/>
      <c r="CA6" s="32"/>
      <c r="CB6" s="2"/>
      <c r="CC6" s="3"/>
      <c r="CD6" s="35"/>
      <c r="CE6" s="3"/>
      <c r="CF6" s="32"/>
      <c r="CG6" s="1"/>
    </row>
    <row r="7" spans="1:85" ht="17.100000000000001" customHeight="1" x14ac:dyDescent="0.4">
      <c r="A7" s="100"/>
      <c r="B7" s="103">
        <v>35</v>
      </c>
      <c r="C7" s="103"/>
      <c r="D7" s="63"/>
      <c r="E7" s="22" t="s">
        <v>42</v>
      </c>
      <c r="F7" s="18"/>
      <c r="G7" s="88">
        <v>0.55307513390809571</v>
      </c>
      <c r="H7" s="21"/>
      <c r="I7" s="21"/>
      <c r="J7" s="5" t="s">
        <v>43</v>
      </c>
      <c r="K7" s="90">
        <v>6.8924116309912703E-5</v>
      </c>
      <c r="L7" s="90">
        <v>0.32017636663114124</v>
      </c>
      <c r="M7" s="26">
        <v>0.55830079932686905</v>
      </c>
      <c r="N7" s="91"/>
      <c r="O7" s="84" t="s">
        <v>16</v>
      </c>
      <c r="P7" s="40"/>
      <c r="Q7" s="93">
        <v>1.161872128804976</v>
      </c>
      <c r="R7" s="8"/>
      <c r="S7" s="34" t="s">
        <v>44</v>
      </c>
      <c r="T7" s="41">
        <v>13.214908484868532</v>
      </c>
      <c r="U7" s="41" t="s">
        <v>23</v>
      </c>
      <c r="V7" s="41" t="s">
        <v>23</v>
      </c>
      <c r="W7" s="59"/>
      <c r="X7" s="96"/>
      <c r="Y7" s="2" t="s">
        <v>45</v>
      </c>
      <c r="Z7" s="22">
        <v>7.5</v>
      </c>
      <c r="AA7" s="92">
        <v>0.64334736264568271</v>
      </c>
      <c r="AB7" s="22">
        <v>6.7998388402981584</v>
      </c>
      <c r="AC7" s="94">
        <v>0</v>
      </c>
      <c r="AD7" s="57"/>
      <c r="AE7" s="96"/>
      <c r="AF7" s="2" t="s">
        <v>46</v>
      </c>
      <c r="AG7" s="22">
        <v>3.21</v>
      </c>
      <c r="AH7" s="92">
        <v>0.88296610682236565</v>
      </c>
      <c r="AI7" s="22">
        <v>0.998451191112951</v>
      </c>
      <c r="AJ7" s="94">
        <v>8.2335321831598349E-2</v>
      </c>
      <c r="BV7" s="32"/>
      <c r="BW7" s="2"/>
      <c r="BX7" s="3"/>
      <c r="BY7" s="35"/>
      <c r="BZ7" s="3"/>
      <c r="CA7" s="32"/>
      <c r="CB7" s="1"/>
      <c r="CC7" s="1"/>
      <c r="CD7" s="1"/>
      <c r="CE7" s="1"/>
      <c r="CF7" s="1"/>
      <c r="CG7" s="1"/>
    </row>
    <row r="8" spans="1:85" x14ac:dyDescent="0.4">
      <c r="A8" s="29"/>
      <c r="B8" s="15"/>
      <c r="C8" s="15"/>
      <c r="D8" s="63"/>
      <c r="E8" s="22" t="s">
        <v>47</v>
      </c>
      <c r="F8" s="18"/>
      <c r="G8" s="88">
        <v>0.72098449666917486</v>
      </c>
      <c r="H8" s="21"/>
      <c r="I8" s="21"/>
      <c r="J8" s="5" t="s">
        <v>373</v>
      </c>
      <c r="K8" s="90">
        <v>8.7062041654626499E-5</v>
      </c>
      <c r="L8" s="90">
        <v>0.39864736321016253</v>
      </c>
      <c r="M8" s="24"/>
      <c r="N8" s="91"/>
      <c r="O8" s="2" t="s">
        <v>48</v>
      </c>
      <c r="P8" s="40"/>
      <c r="Q8" s="93">
        <v>1.0107515072765023</v>
      </c>
      <c r="R8" s="8"/>
      <c r="S8" s="34" t="s">
        <v>48</v>
      </c>
      <c r="T8" s="41">
        <v>2.5505605641767977</v>
      </c>
      <c r="U8" s="41" t="s">
        <v>23</v>
      </c>
      <c r="V8" s="41" t="s">
        <v>23</v>
      </c>
      <c r="W8" s="59"/>
      <c r="X8" s="96"/>
      <c r="Y8" s="2" t="s">
        <v>383</v>
      </c>
      <c r="Z8" s="22">
        <v>2.2599999999999998</v>
      </c>
      <c r="AA8" s="92">
        <v>0.64334736264568271</v>
      </c>
      <c r="AB8" s="22">
        <v>0.78144174771250152</v>
      </c>
      <c r="AC8" s="94">
        <v>0.12042896398470973</v>
      </c>
      <c r="AD8" s="56"/>
      <c r="AE8" s="96"/>
      <c r="AF8" s="2" t="s">
        <v>49</v>
      </c>
      <c r="AG8" s="22">
        <v>0.28999999999999998</v>
      </c>
      <c r="AH8" s="92">
        <v>0.19382115435150776</v>
      </c>
      <c r="AI8" s="22">
        <v>-0.47948475522920914</v>
      </c>
      <c r="AJ8" s="94">
        <v>5.2955214663677593E-2</v>
      </c>
      <c r="BV8" s="32"/>
      <c r="BW8" s="2"/>
      <c r="BX8" s="3"/>
      <c r="BY8" s="35"/>
      <c r="BZ8" s="3"/>
      <c r="CA8" s="32"/>
      <c r="CB8" s="1"/>
      <c r="CC8" s="1"/>
      <c r="CD8" s="1"/>
      <c r="CE8" s="1"/>
      <c r="CF8" s="1"/>
      <c r="CG8" s="1"/>
    </row>
    <row r="9" spans="1:85" x14ac:dyDescent="0.4">
      <c r="A9" s="30"/>
      <c r="B9" s="98" t="s">
        <v>362</v>
      </c>
      <c r="C9" s="98"/>
      <c r="D9" s="75"/>
      <c r="E9" s="22" t="s">
        <v>50</v>
      </c>
      <c r="F9" s="19"/>
      <c r="G9" s="88">
        <v>0.59503114617733366</v>
      </c>
      <c r="H9" s="21"/>
      <c r="I9" s="21"/>
      <c r="J9" s="22" t="s">
        <v>374</v>
      </c>
      <c r="K9" s="26"/>
      <c r="L9" s="90">
        <v>0.79940487408942629</v>
      </c>
      <c r="M9" s="26"/>
      <c r="N9" s="92"/>
      <c r="O9" s="8"/>
      <c r="P9" s="8"/>
      <c r="Q9" s="8"/>
      <c r="R9" s="8"/>
      <c r="S9" s="34" t="s">
        <v>51</v>
      </c>
      <c r="T9" s="41">
        <v>1.472785211572571</v>
      </c>
      <c r="U9" s="41">
        <v>6.0830827164240482</v>
      </c>
      <c r="V9" s="41" t="s">
        <v>23</v>
      </c>
      <c r="W9" s="59"/>
      <c r="X9" s="96"/>
      <c r="Y9" s="2" t="s">
        <v>384</v>
      </c>
      <c r="Z9" s="22">
        <v>0.39</v>
      </c>
      <c r="AA9" s="92">
        <v>0.64334736264568271</v>
      </c>
      <c r="AB9" s="22">
        <v>-0.30503705608200449</v>
      </c>
      <c r="AC9" s="94">
        <v>0.19077024535858994</v>
      </c>
      <c r="AD9" s="56"/>
      <c r="AE9" s="96"/>
      <c r="AF9" s="2" t="s">
        <v>52</v>
      </c>
      <c r="AG9" s="22">
        <v>3.12</v>
      </c>
      <c r="AH9" s="92">
        <v>0.19382115435150776</v>
      </c>
      <c r="AI9" s="22">
        <v>2.0156969831803551</v>
      </c>
      <c r="AJ9" s="94">
        <v>1.1263847203440663E-3</v>
      </c>
      <c r="BV9" s="32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</row>
    <row r="10" spans="1:85" ht="19.5" customHeight="1" x14ac:dyDescent="0.4">
      <c r="A10" s="100" t="s">
        <v>375</v>
      </c>
      <c r="B10" s="9" t="s">
        <v>13</v>
      </c>
      <c r="C10" s="11">
        <f xml:space="preserve"> 0.0000026 * $B$7 / ((1000 - 1.00488 * $B$7) / 1000)</f>
        <v>9.4317211792512088E-5</v>
      </c>
      <c r="D10" s="13"/>
      <c r="E10" s="22" t="s">
        <v>53</v>
      </c>
      <c r="F10" s="18"/>
      <c r="G10" s="88">
        <v>0.54739007785719096</v>
      </c>
      <c r="H10" s="21"/>
      <c r="I10" s="21"/>
      <c r="J10" s="22" t="s">
        <v>54</v>
      </c>
      <c r="K10" s="26"/>
      <c r="L10" s="90">
        <v>0.68404304236806479</v>
      </c>
      <c r="M10" s="26"/>
      <c r="N10" s="92"/>
      <c r="O10" s="8"/>
      <c r="P10" s="8"/>
      <c r="Q10" s="8"/>
      <c r="R10" s="8"/>
      <c r="S10" s="34" t="s">
        <v>21</v>
      </c>
      <c r="T10" s="41">
        <v>8.592143352385234</v>
      </c>
      <c r="U10" s="41" t="s">
        <v>23</v>
      </c>
      <c r="V10" s="41" t="s">
        <v>23</v>
      </c>
      <c r="W10" s="59"/>
      <c r="X10" s="77"/>
      <c r="Y10" s="2"/>
      <c r="Z10" s="22"/>
      <c r="AA10" s="21"/>
      <c r="AB10" s="22"/>
      <c r="AC10" s="23"/>
      <c r="AD10" s="57"/>
      <c r="AE10" s="96"/>
      <c r="AF10" s="2" t="s">
        <v>56</v>
      </c>
      <c r="AG10" s="22">
        <v>2.5</v>
      </c>
      <c r="AH10" s="92">
        <v>0.19382115435150776</v>
      </c>
      <c r="AI10" s="22">
        <v>1.6173378647471088</v>
      </c>
      <c r="AJ10" s="94">
        <v>0</v>
      </c>
      <c r="BV10" s="32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</row>
    <row r="11" spans="1:85" ht="19.5" customHeight="1" x14ac:dyDescent="0.4">
      <c r="A11" s="100"/>
      <c r="B11" s="9" t="s">
        <v>19</v>
      </c>
      <c r="C11" s="11">
        <f xml:space="preserve"> 0.0134 * $B$7 / ((1000 - 1.00488 * $B$7) / 1000)</f>
        <v>0.48609639923833153</v>
      </c>
      <c r="D11" s="13"/>
      <c r="E11" s="22" t="s">
        <v>33</v>
      </c>
      <c r="F11" s="18"/>
      <c r="G11" s="88">
        <v>0.60431852070754533</v>
      </c>
      <c r="H11" s="21"/>
      <c r="I11" s="21"/>
      <c r="J11" s="22" t="s">
        <v>57</v>
      </c>
      <c r="K11" s="26"/>
      <c r="L11" s="90">
        <v>0.2742603838409427</v>
      </c>
      <c r="M11" s="26">
        <v>0.47637939145134511</v>
      </c>
      <c r="N11" s="92"/>
      <c r="O11" s="23"/>
      <c r="P11" s="8"/>
      <c r="Q11" s="8"/>
      <c r="R11" s="8"/>
      <c r="S11" s="34" t="s">
        <v>58</v>
      </c>
      <c r="T11" s="41">
        <v>4.2837745845235498</v>
      </c>
      <c r="U11" s="41" t="s">
        <v>23</v>
      </c>
      <c r="V11" s="41" t="s">
        <v>23</v>
      </c>
      <c r="W11" s="59"/>
      <c r="X11" s="77"/>
      <c r="Y11" s="2" t="s">
        <v>9</v>
      </c>
      <c r="Z11" s="22" t="s">
        <v>10</v>
      </c>
      <c r="AA11" s="85" t="s">
        <v>411</v>
      </c>
      <c r="AB11" s="22" t="s">
        <v>11</v>
      </c>
      <c r="AC11" s="23" t="s">
        <v>12</v>
      </c>
      <c r="AD11" s="57"/>
      <c r="AE11" s="96"/>
      <c r="AF11" s="2" t="s">
        <v>59</v>
      </c>
      <c r="AG11" s="22">
        <v>4.87</v>
      </c>
      <c r="AH11" s="92">
        <v>0.88296610682236565</v>
      </c>
      <c r="AI11" s="22">
        <v>2.3253536932917918</v>
      </c>
      <c r="AJ11" s="94">
        <v>0</v>
      </c>
      <c r="BV11" s="32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</row>
    <row r="12" spans="1:85" ht="19.5" customHeight="1" x14ac:dyDescent="0.4">
      <c r="A12" s="30"/>
      <c r="B12" s="9" t="s">
        <v>26</v>
      </c>
      <c r="C12" s="11">
        <f xml:space="preserve"> 0.0002916 * $B$7 / ((1000 - 1.00488 * $B$7) / 1000)</f>
        <v>1.0578038061037123E-2</v>
      </c>
      <c r="D12" s="13"/>
      <c r="E12" s="22" t="s">
        <v>60</v>
      </c>
      <c r="F12" s="18"/>
      <c r="G12" s="88">
        <v>0.16711887223926664</v>
      </c>
      <c r="H12" s="21"/>
      <c r="I12" s="21"/>
      <c r="J12" s="22" t="s">
        <v>379</v>
      </c>
      <c r="K12" s="26"/>
      <c r="L12" s="90">
        <v>0.75558063539239106</v>
      </c>
      <c r="M12" s="24"/>
      <c r="N12" s="92"/>
      <c r="O12" s="8"/>
      <c r="P12" s="8"/>
      <c r="Q12" s="8"/>
      <c r="R12" s="8"/>
      <c r="S12" s="34" t="s">
        <v>61</v>
      </c>
      <c r="T12" s="41">
        <v>6.3965776953294267</v>
      </c>
      <c r="U12" s="41" t="s">
        <v>23</v>
      </c>
      <c r="V12" s="41" t="s">
        <v>23</v>
      </c>
      <c r="W12" s="59"/>
      <c r="X12" s="95" t="s">
        <v>380</v>
      </c>
      <c r="Y12" s="2" t="s">
        <v>55</v>
      </c>
      <c r="Z12" s="22"/>
      <c r="AA12" s="92">
        <v>0.20679556987498363</v>
      </c>
      <c r="AB12" s="22"/>
      <c r="AC12" s="94">
        <v>0.60017907619476318</v>
      </c>
      <c r="AD12" s="57"/>
      <c r="AE12" s="96"/>
      <c r="AF12" s="2" t="s">
        <v>62</v>
      </c>
      <c r="AG12" s="22">
        <v>8.17</v>
      </c>
      <c r="AH12" s="92">
        <v>0.88296610682236565</v>
      </c>
      <c r="AI12" s="22">
        <v>4.3489425327846387</v>
      </c>
      <c r="AJ12" s="94">
        <v>0</v>
      </c>
      <c r="AL12" s="32"/>
      <c r="BV12" s="32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</row>
    <row r="13" spans="1:85" ht="19.5" customHeight="1" x14ac:dyDescent="0.4">
      <c r="A13" s="31"/>
      <c r="B13" s="9" t="s">
        <v>31</v>
      </c>
      <c r="C13" s="11">
        <f xml:space="preserve"> 0.0015091 * $B$7 / ((1000 - 1.00488 * $B$7) / 1000)</f>
        <v>5.4743886275415377E-2</v>
      </c>
      <c r="D13" s="13"/>
      <c r="E13" s="22" t="s">
        <v>17</v>
      </c>
      <c r="F13" s="18"/>
      <c r="G13" s="88">
        <v>0.18758622138358408</v>
      </c>
      <c r="H13" s="8"/>
      <c r="I13" s="8"/>
      <c r="J13" s="8" t="s">
        <v>63</v>
      </c>
      <c r="K13" s="24"/>
      <c r="L13" s="90">
        <v>0.64811532787418313</v>
      </c>
      <c r="M13" s="24"/>
      <c r="N13" s="92"/>
      <c r="O13" s="8"/>
      <c r="P13" s="8"/>
      <c r="Q13" s="8"/>
      <c r="R13" s="8"/>
      <c r="S13" s="34" t="s">
        <v>64</v>
      </c>
      <c r="T13" s="41">
        <v>6.2204712829176749</v>
      </c>
      <c r="U13" s="41" t="s">
        <v>23</v>
      </c>
      <c r="V13" s="41" t="s">
        <v>23</v>
      </c>
      <c r="W13" s="59"/>
      <c r="X13" s="96"/>
      <c r="Y13" s="2" t="s">
        <v>385</v>
      </c>
      <c r="Z13" s="22">
        <v>4.4900000050475954</v>
      </c>
      <c r="AA13" s="92">
        <v>0.6969298779768599</v>
      </c>
      <c r="AB13" s="22">
        <v>3.4005152317940683</v>
      </c>
      <c r="AC13" s="94">
        <v>5.5187528399104928E-3</v>
      </c>
      <c r="AD13" s="57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</row>
    <row r="14" spans="1:85" ht="19.5" customHeight="1" x14ac:dyDescent="0.4">
      <c r="A14" s="31"/>
      <c r="B14" s="9" t="s">
        <v>36</v>
      </c>
      <c r="C14" s="12">
        <f xml:space="preserve"> 0.0002938 * $B$7 / ((1000 - 1.00488 * $B$7) / 1000)</f>
        <v>1.0657844932553864E-2</v>
      </c>
      <c r="D14" s="64"/>
      <c r="E14" s="22" t="s">
        <v>380</v>
      </c>
      <c r="F14" s="18"/>
      <c r="G14" s="88">
        <v>0.20679556987498363</v>
      </c>
      <c r="H14" s="8"/>
      <c r="I14" s="8"/>
      <c r="J14" s="8" t="s">
        <v>65</v>
      </c>
      <c r="K14" s="24"/>
      <c r="L14" s="90">
        <v>0.6964081298750201</v>
      </c>
      <c r="M14" s="24"/>
      <c r="N14" s="92"/>
      <c r="O14" s="23"/>
      <c r="P14" s="2"/>
      <c r="Q14" s="21"/>
      <c r="R14" s="21"/>
      <c r="S14" s="36" t="s">
        <v>66</v>
      </c>
      <c r="T14" s="41">
        <v>1.8297066617115985</v>
      </c>
      <c r="U14" s="41">
        <v>5.7476379784262805</v>
      </c>
      <c r="V14" s="41">
        <v>8.7176155150231143</v>
      </c>
      <c r="W14" s="59"/>
      <c r="X14" s="96"/>
      <c r="Y14" s="2" t="s">
        <v>400</v>
      </c>
      <c r="Z14" s="22">
        <v>7.3900000021755208</v>
      </c>
      <c r="AA14" s="92">
        <v>2.190215629630643</v>
      </c>
      <c r="AB14" s="22">
        <v>5.2413805180927753</v>
      </c>
      <c r="AC14" s="94">
        <v>1.3987854062618165E-6</v>
      </c>
      <c r="AD14" s="57"/>
      <c r="AE14" s="73"/>
      <c r="AF14" s="8" t="s">
        <v>9</v>
      </c>
      <c r="AG14" s="8" t="s">
        <v>10</v>
      </c>
      <c r="AH14" s="80" t="s">
        <v>411</v>
      </c>
      <c r="AI14" s="8" t="s">
        <v>11</v>
      </c>
      <c r="AJ14" s="8" t="s">
        <v>12</v>
      </c>
      <c r="AK14" s="3"/>
      <c r="AL14" s="32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</row>
    <row r="15" spans="1:85" ht="19.5" customHeight="1" x14ac:dyDescent="0.4">
      <c r="A15" s="31"/>
      <c r="B15" s="7"/>
      <c r="C15" s="11"/>
      <c r="D15" s="13"/>
      <c r="E15" s="22" t="s">
        <v>67</v>
      </c>
      <c r="F15" s="18"/>
      <c r="G15" s="88">
        <v>0.20824363112538244</v>
      </c>
      <c r="H15" s="21"/>
      <c r="I15" s="21"/>
      <c r="J15" s="22" t="s">
        <v>68</v>
      </c>
      <c r="K15" s="26"/>
      <c r="L15" s="90">
        <v>0.60918768832602188</v>
      </c>
      <c r="M15" s="24"/>
      <c r="N15" s="92"/>
      <c r="O15" s="8"/>
      <c r="P15" s="2"/>
      <c r="Q15" s="21"/>
      <c r="R15" s="21"/>
      <c r="S15" s="21"/>
      <c r="T15" s="33"/>
      <c r="U15" s="33"/>
      <c r="V15" s="33"/>
      <c r="W15" s="60"/>
      <c r="X15" s="96"/>
      <c r="Y15" s="2" t="s">
        <v>386</v>
      </c>
      <c r="Z15" s="22">
        <v>1.47</v>
      </c>
      <c r="AA15" s="92">
        <v>1.3217141877994476</v>
      </c>
      <c r="AB15" s="22">
        <v>0.43751116979228533</v>
      </c>
      <c r="AC15" s="94">
        <v>3.0488813404357545E-3</v>
      </c>
      <c r="AD15" s="57"/>
      <c r="AE15" s="97" t="s">
        <v>69</v>
      </c>
      <c r="AF15" s="2" t="s">
        <v>69</v>
      </c>
      <c r="AG15" s="22"/>
      <c r="AH15" s="92">
        <v>5.0249651958076326E-2</v>
      </c>
      <c r="AI15" s="22"/>
      <c r="AJ15" s="94">
        <v>0.21671684086322784</v>
      </c>
      <c r="AK15" s="3"/>
      <c r="AL15" s="32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</row>
    <row r="16" spans="1:85" ht="18.95" customHeight="1" x14ac:dyDescent="0.4">
      <c r="A16" s="31"/>
      <c r="B16" s="9" t="s">
        <v>14</v>
      </c>
      <c r="C16" s="11">
        <f xml:space="preserve"> 0.0155964 * $B$7 / ((1000 - 1.00488 * $B$7) / 1000)</f>
        <v>0.56577267769259054</v>
      </c>
      <c r="D16" s="13"/>
      <c r="E16" s="8" t="s">
        <v>70</v>
      </c>
      <c r="F16" s="17"/>
      <c r="G16" s="88">
        <v>0.21247697375775551</v>
      </c>
      <c r="H16" s="21"/>
      <c r="I16" s="21"/>
      <c r="J16" s="22" t="s">
        <v>71</v>
      </c>
      <c r="K16" s="26"/>
      <c r="L16" s="90">
        <v>0.72591686931048705</v>
      </c>
      <c r="M16" s="24"/>
      <c r="N16" s="92"/>
      <c r="O16" s="8"/>
      <c r="P16" s="2"/>
      <c r="Q16" s="21"/>
      <c r="R16" s="21"/>
      <c r="S16" s="21"/>
      <c r="T16" s="33"/>
      <c r="U16" s="33"/>
      <c r="V16" s="33"/>
      <c r="W16" s="60"/>
      <c r="X16" s="96"/>
      <c r="Y16" s="2" t="s">
        <v>387</v>
      </c>
      <c r="Z16" s="22">
        <v>5.449999896339488</v>
      </c>
      <c r="AA16" s="92">
        <v>1.3001661390728938</v>
      </c>
      <c r="AB16" s="22">
        <v>3.2885164535320492</v>
      </c>
      <c r="AC16" s="94">
        <v>0.13122250460569287</v>
      </c>
      <c r="AD16" s="57"/>
      <c r="AE16" s="96"/>
      <c r="AF16" s="2" t="s">
        <v>72</v>
      </c>
      <c r="AG16" s="22">
        <v>5.6000003801648486</v>
      </c>
      <c r="AH16" s="92">
        <v>0.19382115435150776</v>
      </c>
      <c r="AI16" s="22">
        <v>4.4518953419293155</v>
      </c>
      <c r="AJ16" s="94">
        <v>2.2430185490497148E-2</v>
      </c>
      <c r="AK16" s="3"/>
      <c r="AL16" s="32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</row>
    <row r="17" spans="1:85" x14ac:dyDescent="0.4">
      <c r="A17" s="31"/>
      <c r="B17" s="9" t="s">
        <v>358</v>
      </c>
      <c r="C17" s="13">
        <f xml:space="preserve"> 0.0008068 * $B$7 / ((1000 - 1.00488 * $B$7) / 1000)</f>
        <v>2.9267356336230285E-2</v>
      </c>
      <c r="D17" s="13"/>
      <c r="E17" s="8" t="s">
        <v>366</v>
      </c>
      <c r="F17" s="17"/>
      <c r="G17" s="88">
        <v>0.18250618171859176</v>
      </c>
      <c r="H17" s="21"/>
      <c r="I17" s="21"/>
      <c r="J17" s="22" t="s">
        <v>74</v>
      </c>
      <c r="K17" s="26"/>
      <c r="L17" s="90">
        <v>0.64023067566106218</v>
      </c>
      <c r="M17" s="24"/>
      <c r="N17" s="92"/>
      <c r="O17" s="8"/>
      <c r="P17" s="2"/>
      <c r="Q17" s="21"/>
      <c r="R17" s="21"/>
      <c r="S17" s="21"/>
      <c r="T17" s="33"/>
      <c r="U17" s="33"/>
      <c r="V17" s="33"/>
      <c r="W17" s="60"/>
      <c r="X17" s="96"/>
      <c r="Y17" s="2" t="s">
        <v>388</v>
      </c>
      <c r="Z17" s="22">
        <v>7.17</v>
      </c>
      <c r="AA17" s="92">
        <v>0.19654326579774786</v>
      </c>
      <c r="AB17" s="22">
        <v>4.4660314181168044</v>
      </c>
      <c r="AC17" s="94">
        <v>2.2219501225320147E-4</v>
      </c>
      <c r="AD17" s="56"/>
      <c r="AE17" s="96"/>
      <c r="AF17" s="2" t="s">
        <v>75</v>
      </c>
      <c r="AG17" s="22">
        <v>1.95</v>
      </c>
      <c r="AH17" s="92">
        <v>0.19382115435150776</v>
      </c>
      <c r="AI17" s="22">
        <v>1.1368393732283599</v>
      </c>
      <c r="AJ17" s="94">
        <v>5.5090984862794764E-3</v>
      </c>
      <c r="AK17" s="3"/>
      <c r="AL17" s="32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</row>
    <row r="18" spans="1:85" x14ac:dyDescent="0.4">
      <c r="A18" s="31"/>
      <c r="B18" s="9" t="s">
        <v>359</v>
      </c>
      <c r="C18" s="11">
        <f xml:space="preserve"> 0.0000055 * $B$7 / ((1000 - 1.00488 * $B$7) / 1000)</f>
        <v>1.9951717879185247E-4</v>
      </c>
      <c r="D18" s="13"/>
      <c r="E18" s="8" t="s">
        <v>76</v>
      </c>
      <c r="F18" s="17"/>
      <c r="G18" s="88">
        <v>0.19473959010608025</v>
      </c>
      <c r="H18" s="21"/>
      <c r="I18" s="21"/>
      <c r="J18" s="22" t="s">
        <v>77</v>
      </c>
      <c r="K18" s="26"/>
      <c r="L18" s="90">
        <v>0.62754112869130785</v>
      </c>
      <c r="M18" s="24"/>
      <c r="N18" s="92"/>
      <c r="O18" s="8"/>
      <c r="P18" s="2"/>
      <c r="Q18" s="21"/>
      <c r="R18" s="21"/>
      <c r="S18" s="21"/>
      <c r="T18" s="33"/>
      <c r="U18" s="33"/>
      <c r="V18" s="33"/>
      <c r="W18" s="60"/>
      <c r="X18" s="96"/>
      <c r="Y18" s="2" t="s">
        <v>401</v>
      </c>
      <c r="Z18" s="22">
        <v>6.2</v>
      </c>
      <c r="AA18" s="92">
        <v>0.64334736264568271</v>
      </c>
      <c r="AB18" s="22">
        <v>5.5421791357084356</v>
      </c>
      <c r="AC18" s="94">
        <v>0</v>
      </c>
      <c r="AD18" s="56"/>
      <c r="AE18" s="96"/>
      <c r="AF18" s="2" t="s">
        <v>78</v>
      </c>
      <c r="AG18" s="22">
        <v>6.95</v>
      </c>
      <c r="AH18" s="92">
        <v>0.88296610682236565</v>
      </c>
      <c r="AI18" s="22">
        <v>4.3421632025508519</v>
      </c>
      <c r="AJ18" s="94">
        <v>0.53612601604354726</v>
      </c>
      <c r="AK18" s="3"/>
      <c r="AL18" s="32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</row>
    <row r="19" spans="1:85" ht="21" customHeight="1" x14ac:dyDescent="0.4">
      <c r="A19" s="31"/>
      <c r="B19" s="9" t="s">
        <v>360</v>
      </c>
      <c r="C19" s="11">
        <f xml:space="preserve"> 0.0000531 * $B$7 / ((1000 - 1.00488 * $B$7) / 1000)</f>
        <v>1.9262476716086121E-3</v>
      </c>
      <c r="D19" s="13"/>
      <c r="E19" s="8" t="s">
        <v>79</v>
      </c>
      <c r="F19" s="17"/>
      <c r="G19" s="88">
        <v>0.24202213798873498</v>
      </c>
      <c r="H19" s="21"/>
      <c r="I19" s="21"/>
      <c r="J19" s="22" t="s">
        <v>80</v>
      </c>
      <c r="K19" s="26"/>
      <c r="L19" s="90">
        <v>0.53337192674294442</v>
      </c>
      <c r="M19" s="25"/>
      <c r="N19" s="92"/>
      <c r="O19" s="8"/>
      <c r="P19" s="2"/>
      <c r="Q19" s="21"/>
      <c r="R19" s="21"/>
      <c r="S19" s="21"/>
      <c r="T19" s="33"/>
      <c r="U19" s="33"/>
      <c r="V19" s="33"/>
      <c r="W19" s="60"/>
      <c r="X19" s="96"/>
      <c r="Y19" s="2" t="s">
        <v>389</v>
      </c>
      <c r="Z19" s="22">
        <v>2.2000000000000002</v>
      </c>
      <c r="AA19" s="92">
        <v>0.64334736264568271</v>
      </c>
      <c r="AB19" s="22">
        <v>0.76378204312277842</v>
      </c>
      <c r="AC19" s="94">
        <v>0.10196388006482308</v>
      </c>
      <c r="AD19" s="57"/>
      <c r="AE19" s="96"/>
      <c r="AF19" s="2" t="s">
        <v>81</v>
      </c>
      <c r="AG19" s="22">
        <v>11.5</v>
      </c>
      <c r="AH19" s="92">
        <v>0.88296610682236565</v>
      </c>
      <c r="AI19" s="22">
        <v>7.5291373802795452</v>
      </c>
      <c r="AJ19" s="94">
        <v>9.2779510855560521E-2</v>
      </c>
      <c r="AK19" s="3"/>
      <c r="AL19" s="32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</row>
    <row r="20" spans="1:85" ht="17.100000000000001" customHeight="1" x14ac:dyDescent="0.4">
      <c r="A20" s="31"/>
      <c r="B20" s="9" t="s">
        <v>37</v>
      </c>
      <c r="C20" s="11">
        <f xml:space="preserve"> 0.000024 * $B$7 / ((1000 - 1.00488 * $B$7) / 1000)</f>
        <v>8.7062041654626537E-4</v>
      </c>
      <c r="D20" s="13"/>
      <c r="E20" s="8" t="s">
        <v>82</v>
      </c>
      <c r="F20" s="17"/>
      <c r="G20" s="88">
        <v>7.7134827637384523E-2</v>
      </c>
      <c r="H20" s="21"/>
      <c r="I20" s="21"/>
      <c r="J20" s="22" t="s">
        <v>83</v>
      </c>
      <c r="K20" s="26"/>
      <c r="L20" s="90">
        <v>5.291622318253774E-2</v>
      </c>
      <c r="M20" s="25"/>
      <c r="N20" s="92"/>
      <c r="O20" s="8"/>
      <c r="P20" s="2"/>
      <c r="Q20" s="21"/>
      <c r="R20" s="21"/>
      <c r="S20" s="21"/>
      <c r="T20" s="33"/>
      <c r="U20" s="33"/>
      <c r="V20" s="33"/>
      <c r="W20" s="60"/>
      <c r="X20" s="96"/>
      <c r="Y20" s="2" t="s">
        <v>390</v>
      </c>
      <c r="Z20" s="22">
        <v>0.32</v>
      </c>
      <c r="AA20" s="92">
        <v>0.64334736264568271</v>
      </c>
      <c r="AB20" s="22">
        <v>-0.33269676067172821</v>
      </c>
      <c r="AC20" s="94">
        <v>0.15784325980986111</v>
      </c>
      <c r="AD20" s="57"/>
      <c r="AE20" s="96"/>
      <c r="AF20" s="2" t="s">
        <v>85</v>
      </c>
      <c r="AG20" s="22">
        <v>3.29</v>
      </c>
      <c r="AH20" s="92">
        <v>0.88296610682236565</v>
      </c>
      <c r="AI20" s="22">
        <v>1.1018753621361657</v>
      </c>
      <c r="AJ20" s="94">
        <v>8.0195773948635432E-2</v>
      </c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</row>
    <row r="21" spans="1:85" ht="17.100000000000001" customHeight="1" x14ac:dyDescent="0.4">
      <c r="A21" s="31"/>
      <c r="B21" s="9" t="s">
        <v>43</v>
      </c>
      <c r="C21" s="11">
        <f xml:space="preserve"> 0.0000019 * $B$7 / ((1000 - 1.00488 * $B$7) / 1000)</f>
        <v>6.8924116309912676E-5</v>
      </c>
      <c r="D21" s="13"/>
      <c r="E21" s="8" t="s">
        <v>86</v>
      </c>
      <c r="F21" s="17"/>
      <c r="G21" s="88">
        <v>9.1360764112658394E-2</v>
      </c>
      <c r="H21" s="21"/>
      <c r="I21" s="21"/>
      <c r="J21" s="22" t="s">
        <v>87</v>
      </c>
      <c r="K21" s="26"/>
      <c r="L21" s="90">
        <v>2.5271795602050145E-5</v>
      </c>
      <c r="M21" s="25"/>
      <c r="N21" s="92"/>
      <c r="O21" s="8"/>
      <c r="P21" s="8"/>
      <c r="Q21" s="8"/>
      <c r="R21" s="21"/>
      <c r="S21" s="21"/>
      <c r="T21" s="33"/>
      <c r="U21" s="33"/>
      <c r="V21" s="33"/>
      <c r="W21" s="60"/>
      <c r="X21" s="77"/>
      <c r="Y21" s="2"/>
      <c r="Z21" s="22"/>
      <c r="AA21" s="21"/>
      <c r="AB21" s="22"/>
      <c r="AC21" s="23"/>
      <c r="AD21" s="57"/>
      <c r="AE21" s="96"/>
      <c r="AF21" s="2" t="s">
        <v>89</v>
      </c>
      <c r="AG21" s="22">
        <v>0.31</v>
      </c>
      <c r="AH21" s="92">
        <v>0.19382115435150776</v>
      </c>
      <c r="AI21" s="22">
        <v>-0.43606058420599486</v>
      </c>
      <c r="AJ21" s="94">
        <v>4.4923545884207924E-2</v>
      </c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</row>
    <row r="22" spans="1:85" ht="21" customHeight="1" x14ac:dyDescent="0.4">
      <c r="A22" s="86"/>
      <c r="B22" s="9" t="s">
        <v>361</v>
      </c>
      <c r="C22" s="11">
        <f xml:space="preserve"> 0.0000024 * $B$7 / ((1000 - 1.00488 * $B$7) / 1000)</f>
        <v>8.7062041654626526E-5</v>
      </c>
      <c r="D22" s="13"/>
      <c r="E22" s="8" t="s">
        <v>381</v>
      </c>
      <c r="F22" s="17"/>
      <c r="G22" s="88">
        <v>2.9730401866654599E-2</v>
      </c>
      <c r="H22" s="21"/>
      <c r="I22" s="21"/>
      <c r="J22" s="22" t="s">
        <v>91</v>
      </c>
      <c r="K22" s="26"/>
      <c r="L22" s="90">
        <v>0.79545391941779187</v>
      </c>
      <c r="M22" s="25"/>
      <c r="N22" s="92"/>
      <c r="O22" s="8"/>
      <c r="P22" s="8"/>
      <c r="Q22" s="8"/>
      <c r="R22" s="21"/>
      <c r="S22" s="21"/>
      <c r="T22" s="33"/>
      <c r="U22" s="33"/>
      <c r="V22" s="33"/>
      <c r="W22" s="60"/>
      <c r="X22" s="77"/>
      <c r="Y22" s="2" t="s">
        <v>9</v>
      </c>
      <c r="Z22" s="22" t="s">
        <v>10</v>
      </c>
      <c r="AA22" s="85" t="s">
        <v>411</v>
      </c>
      <c r="AB22" s="22" t="s">
        <v>11</v>
      </c>
      <c r="AC22" s="23" t="s">
        <v>12</v>
      </c>
      <c r="AD22" s="57"/>
      <c r="AE22" s="96"/>
      <c r="AF22" s="2" t="s">
        <v>93</v>
      </c>
      <c r="AG22" s="22">
        <v>3.28</v>
      </c>
      <c r="AH22" s="92">
        <v>0.19382115435150776</v>
      </c>
      <c r="AI22" s="22">
        <v>2.1991211542035689</v>
      </c>
      <c r="AJ22" s="94">
        <v>1.3190220210290656E-3</v>
      </c>
      <c r="AK22" s="3"/>
      <c r="AL22" s="32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</row>
    <row r="23" spans="1:85" ht="17.100000000000001" customHeight="1" x14ac:dyDescent="0.4">
      <c r="A23" s="67"/>
      <c r="B23" s="67"/>
      <c r="C23" s="43"/>
      <c r="D23" s="10"/>
      <c r="E23" s="8" t="s">
        <v>94</v>
      </c>
      <c r="F23" s="17"/>
      <c r="G23" s="88">
        <v>0.89735051752008266</v>
      </c>
      <c r="H23" s="21"/>
      <c r="I23" s="21"/>
      <c r="J23" s="22" t="s">
        <v>95</v>
      </c>
      <c r="K23" s="26"/>
      <c r="L23" s="90">
        <v>8.5695103432836386E-2</v>
      </c>
      <c r="M23" s="25"/>
      <c r="N23" s="92"/>
      <c r="O23" s="8"/>
      <c r="P23" s="8"/>
      <c r="Q23" s="8"/>
      <c r="R23" s="21"/>
      <c r="S23" s="21"/>
      <c r="T23" s="33"/>
      <c r="U23" s="33"/>
      <c r="V23" s="33"/>
      <c r="W23" s="60"/>
      <c r="X23" s="95" t="s">
        <v>67</v>
      </c>
      <c r="Y23" s="2" t="s">
        <v>67</v>
      </c>
      <c r="Z23" s="22"/>
      <c r="AA23" s="92">
        <v>0.20824363112538244</v>
      </c>
      <c r="AB23" s="22"/>
      <c r="AC23" s="94">
        <v>0.39936608076095581</v>
      </c>
      <c r="AD23" s="57"/>
      <c r="AE23" s="96"/>
      <c r="AF23" s="2" t="s">
        <v>97</v>
      </c>
      <c r="AG23" s="22">
        <v>2.4300000000000002</v>
      </c>
      <c r="AH23" s="92">
        <v>0.19382115435150776</v>
      </c>
      <c r="AI23" s="22">
        <v>1.5707620357703234</v>
      </c>
      <c r="AJ23" s="94">
        <v>0</v>
      </c>
      <c r="AK23" s="3"/>
      <c r="AL23" s="32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</row>
    <row r="24" spans="1:85" ht="18" customHeight="1" x14ac:dyDescent="0.4">
      <c r="A24" s="67"/>
      <c r="B24" s="67"/>
      <c r="C24" s="43"/>
      <c r="D24" s="14"/>
      <c r="E24" s="8" t="s">
        <v>247</v>
      </c>
      <c r="F24" s="16"/>
      <c r="G24" s="88">
        <v>0.6305419559420764</v>
      </c>
      <c r="H24" s="21"/>
      <c r="I24" s="21"/>
      <c r="J24" s="22" t="s">
        <v>98</v>
      </c>
      <c r="K24" s="26"/>
      <c r="L24" s="90">
        <v>2.4617920280233224E-4</v>
      </c>
      <c r="M24" s="25"/>
      <c r="N24" s="92"/>
      <c r="O24" s="8"/>
      <c r="P24" s="8"/>
      <c r="Q24" s="8"/>
      <c r="R24" s="21"/>
      <c r="S24" s="21"/>
      <c r="T24" s="33"/>
      <c r="U24" s="33"/>
      <c r="V24" s="33"/>
      <c r="W24" s="60"/>
      <c r="X24" s="96"/>
      <c r="Y24" s="2" t="s">
        <v>84</v>
      </c>
      <c r="Z24" s="22">
        <v>4.3399999566726892</v>
      </c>
      <c r="AA24" s="92">
        <v>0.6969298779768599</v>
      </c>
      <c r="AB24" s="22">
        <v>3.2535456805905278</v>
      </c>
      <c r="AC24" s="94">
        <v>2.6179522366730473E-3</v>
      </c>
      <c r="AD24" s="57"/>
      <c r="AE24" s="96"/>
      <c r="AF24" s="2" t="s">
        <v>100</v>
      </c>
      <c r="AG24" s="22">
        <v>4.9800000000000004</v>
      </c>
      <c r="AH24" s="92">
        <v>0.88296610682236565</v>
      </c>
      <c r="AI24" s="22">
        <v>2.4587778643150067</v>
      </c>
      <c r="AJ24" s="94">
        <v>0</v>
      </c>
      <c r="AK24" s="3"/>
      <c r="AL24" s="32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</row>
    <row r="25" spans="1:85" x14ac:dyDescent="0.4">
      <c r="A25" s="101" t="s">
        <v>415</v>
      </c>
      <c r="B25" s="101"/>
      <c r="C25" s="101"/>
      <c r="D25" s="8"/>
      <c r="E25" s="8" t="s">
        <v>18</v>
      </c>
      <c r="F25" s="16"/>
      <c r="G25" s="88">
        <v>4.7611173624176863E-2</v>
      </c>
      <c r="H25" s="21"/>
      <c r="I25" s="21"/>
      <c r="J25" s="22" t="s">
        <v>101</v>
      </c>
      <c r="K25" s="26"/>
      <c r="L25" s="90">
        <v>0.73580485974553655</v>
      </c>
      <c r="M25" s="25"/>
      <c r="N25" s="92"/>
      <c r="O25" s="8"/>
      <c r="P25" s="8"/>
      <c r="Q25" s="8"/>
      <c r="R25" s="21"/>
      <c r="S25" s="21"/>
      <c r="T25" s="33"/>
      <c r="U25" s="33"/>
      <c r="V25" s="33"/>
      <c r="W25" s="60"/>
      <c r="X25" s="96"/>
      <c r="Y25" s="2" t="s">
        <v>88</v>
      </c>
      <c r="Z25" s="22">
        <v>9.1900000454365092</v>
      </c>
      <c r="AA25" s="92">
        <v>2.190215629630643</v>
      </c>
      <c r="AB25" s="22">
        <v>7.0444110585251298</v>
      </c>
      <c r="AC25" s="94">
        <v>5.913872520246976E-5</v>
      </c>
      <c r="AD25" s="56"/>
      <c r="AE25" s="96"/>
      <c r="AF25" s="2" t="s">
        <v>102</v>
      </c>
      <c r="AG25" s="22">
        <v>8.34</v>
      </c>
      <c r="AH25" s="92">
        <v>0.88296610682236565</v>
      </c>
      <c r="AI25" s="22">
        <v>4.5423667038078523</v>
      </c>
      <c r="AJ25" s="94">
        <v>0</v>
      </c>
      <c r="AK25" s="3"/>
      <c r="AL25" s="32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</row>
    <row r="26" spans="1:85" x14ac:dyDescent="0.4">
      <c r="A26" s="109"/>
      <c r="B26" s="109"/>
      <c r="C26" s="109"/>
      <c r="D26" s="10"/>
      <c r="E26" s="8" t="s">
        <v>69</v>
      </c>
      <c r="F26" s="16"/>
      <c r="G26" s="88">
        <v>5.0249651958076326E-2</v>
      </c>
      <c r="H26" s="8"/>
      <c r="I26" s="8"/>
      <c r="J26" s="8" t="s">
        <v>104</v>
      </c>
      <c r="K26" s="24"/>
      <c r="L26" s="90">
        <v>0.10510950457136457</v>
      </c>
      <c r="M26" s="25"/>
      <c r="N26" s="92"/>
      <c r="O26" s="8"/>
      <c r="P26" s="8"/>
      <c r="Q26" s="8"/>
      <c r="R26" s="21"/>
      <c r="S26" s="21"/>
      <c r="T26" s="33"/>
      <c r="U26" s="33"/>
      <c r="V26" s="33"/>
      <c r="W26" s="60"/>
      <c r="X26" s="96"/>
      <c r="Y26" s="2" t="s">
        <v>92</v>
      </c>
      <c r="Z26" s="22">
        <v>1.41</v>
      </c>
      <c r="AA26" s="92">
        <v>1.3217141877994476</v>
      </c>
      <c r="AB26" s="22">
        <v>0.38054166696365122</v>
      </c>
      <c r="AC26" s="94">
        <v>1.7793498461753379E-3</v>
      </c>
      <c r="AD26" s="56"/>
      <c r="AE26" s="73"/>
      <c r="AK26" s="3"/>
      <c r="AL26" s="32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</row>
    <row r="27" spans="1:85" x14ac:dyDescent="0.4">
      <c r="C27" s="1"/>
      <c r="D27" s="8"/>
      <c r="E27" s="8" t="s">
        <v>103</v>
      </c>
      <c r="F27" s="16"/>
      <c r="G27" s="88">
        <v>4.9503541829034804E-2</v>
      </c>
      <c r="H27" s="8"/>
      <c r="I27" s="8"/>
      <c r="J27" s="8" t="s">
        <v>106</v>
      </c>
      <c r="K27" s="24"/>
      <c r="L27" s="90">
        <v>0.65034442136542991</v>
      </c>
      <c r="M27" s="25"/>
      <c r="N27" s="92"/>
      <c r="O27" s="8"/>
      <c r="P27" s="8"/>
      <c r="Q27" s="8"/>
      <c r="R27" s="21"/>
      <c r="S27" s="21"/>
      <c r="T27" s="33"/>
      <c r="U27" s="33"/>
      <c r="V27" s="33"/>
      <c r="W27" s="60"/>
      <c r="X27" s="96"/>
      <c r="Y27" s="2" t="s">
        <v>96</v>
      </c>
      <c r="Z27" s="22">
        <v>4.489999896339488</v>
      </c>
      <c r="AA27" s="92">
        <v>1.3771277643359572</v>
      </c>
      <c r="AB27" s="22">
        <v>2.3065715677799883</v>
      </c>
      <c r="AC27" s="94">
        <v>9.102354857649958E-3</v>
      </c>
      <c r="AD27" s="57"/>
      <c r="AE27" s="73"/>
      <c r="AF27" s="8" t="s">
        <v>9</v>
      </c>
      <c r="AG27" s="8" t="s">
        <v>10</v>
      </c>
      <c r="AH27" s="80" t="s">
        <v>411</v>
      </c>
      <c r="AI27" s="8" t="s">
        <v>11</v>
      </c>
      <c r="AJ27" s="8" t="s">
        <v>12</v>
      </c>
      <c r="AK27" s="3"/>
      <c r="AL27" s="32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</row>
    <row r="28" spans="1:85" ht="17.100000000000001" customHeight="1" x14ac:dyDescent="0.4">
      <c r="A28" s="66" t="s">
        <v>370</v>
      </c>
      <c r="B28" s="72" t="s">
        <v>371</v>
      </c>
      <c r="C28" s="1"/>
      <c r="D28" s="1"/>
      <c r="E28" s="8" t="s">
        <v>105</v>
      </c>
      <c r="F28" s="16"/>
      <c r="G28" s="89">
        <v>4.9340047938915735E-2</v>
      </c>
      <c r="H28" s="37"/>
      <c r="I28" s="37"/>
      <c r="J28" s="27"/>
      <c r="K28" s="32"/>
      <c r="L28" s="35"/>
      <c r="M28" s="35"/>
      <c r="N28" s="35"/>
      <c r="R28" s="35"/>
      <c r="S28" s="35"/>
      <c r="X28" s="96"/>
      <c r="Y28" s="2" t="s">
        <v>99</v>
      </c>
      <c r="Z28" s="22">
        <v>6</v>
      </c>
      <c r="AA28" s="92">
        <v>0.64334736264568271</v>
      </c>
      <c r="AB28" s="22">
        <v>5.3452096328798007</v>
      </c>
      <c r="AC28" s="94">
        <v>0</v>
      </c>
      <c r="AD28" s="57"/>
      <c r="AE28" s="97" t="s">
        <v>103</v>
      </c>
      <c r="AF28" s="2" t="s">
        <v>103</v>
      </c>
      <c r="AG28" s="22"/>
      <c r="AH28" s="92">
        <v>4.9503541829034804E-2</v>
      </c>
      <c r="AI28" s="22"/>
      <c r="AJ28" s="94">
        <v>0.19171012938022614</v>
      </c>
      <c r="AK28" s="3"/>
      <c r="AL28" s="32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</row>
    <row r="29" spans="1:85" ht="17.100000000000001" customHeight="1" x14ac:dyDescent="0.4">
      <c r="A29" s="71" t="s">
        <v>372</v>
      </c>
      <c r="B29" s="6"/>
      <c r="C29" s="1"/>
      <c r="D29" s="1"/>
      <c r="E29" s="8" t="s">
        <v>107</v>
      </c>
      <c r="F29" s="16"/>
      <c r="G29" s="89">
        <v>4.9503541829034804E-2</v>
      </c>
      <c r="H29" s="37"/>
      <c r="I29" s="37"/>
      <c r="J29" s="27"/>
      <c r="K29" s="32"/>
      <c r="L29" s="35"/>
      <c r="M29" s="35"/>
      <c r="N29" s="35"/>
      <c r="R29" s="35"/>
      <c r="S29" s="35"/>
      <c r="X29" s="96"/>
      <c r="Y29" s="2" t="s">
        <v>391</v>
      </c>
      <c r="Z29" s="22">
        <v>3.06</v>
      </c>
      <c r="AA29" s="92">
        <v>0.64334736264568271</v>
      </c>
      <c r="AB29" s="22">
        <v>1.6268125402941442</v>
      </c>
      <c r="AC29" s="94">
        <v>0.49495666437728519</v>
      </c>
      <c r="AD29" s="57"/>
      <c r="AE29" s="96"/>
      <c r="AF29" s="2" t="s">
        <v>111</v>
      </c>
      <c r="AG29" s="22">
        <v>5.6000003780521972</v>
      </c>
      <c r="AH29" s="92">
        <v>0.19382115435150776</v>
      </c>
      <c r="AI29" s="22">
        <v>4.4453985542530594</v>
      </c>
      <c r="AJ29" s="94">
        <v>1.9547376431940273E-2</v>
      </c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</row>
    <row r="30" spans="1:85" ht="17.100000000000001" customHeight="1" x14ac:dyDescent="0.4">
      <c r="A30" s="71" t="s">
        <v>376</v>
      </c>
      <c r="B30" s="6"/>
      <c r="C30" s="1"/>
      <c r="D30" s="1"/>
      <c r="E30" s="8" t="s">
        <v>109</v>
      </c>
      <c r="F30" s="16"/>
      <c r="G30" s="89">
        <v>5.012181140685356E-2</v>
      </c>
      <c r="H30" s="37"/>
      <c r="I30" s="37"/>
      <c r="J30" s="27"/>
      <c r="K30" s="32"/>
      <c r="L30" s="35"/>
      <c r="M30" s="35"/>
      <c r="N30" s="35"/>
      <c r="R30" s="35"/>
      <c r="S30" s="35"/>
      <c r="X30" s="96"/>
      <c r="Y30" s="2" t="s">
        <v>392</v>
      </c>
      <c r="Z30" s="22">
        <v>0.26</v>
      </c>
      <c r="AA30" s="92">
        <v>0.64334736264568271</v>
      </c>
      <c r="AB30" s="22">
        <v>-0.38966626350036226</v>
      </c>
      <c r="AC30" s="94">
        <v>9.2118501411520753E-2</v>
      </c>
      <c r="AD30" s="57"/>
      <c r="AE30" s="96"/>
      <c r="AF30" s="2" t="s">
        <v>114</v>
      </c>
      <c r="AG30" s="22">
        <v>1.89</v>
      </c>
      <c r="AH30" s="92">
        <v>0.19382115435150776</v>
      </c>
      <c r="AI30" s="22">
        <v>1.0703425876647557</v>
      </c>
      <c r="AJ30" s="94">
        <v>4.1815389819724281E-3</v>
      </c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</row>
    <row r="31" spans="1:85" ht="17.100000000000001" customHeight="1" x14ac:dyDescent="0.4">
      <c r="A31" s="71" t="s">
        <v>377</v>
      </c>
      <c r="B31" s="6"/>
      <c r="C31" s="1"/>
      <c r="D31" s="1"/>
      <c r="E31" s="8" t="s">
        <v>112</v>
      </c>
      <c r="F31" s="16"/>
      <c r="G31" s="89">
        <v>5.0550225681369028E-2</v>
      </c>
      <c r="H31" s="37"/>
      <c r="I31" s="37"/>
      <c r="J31" s="27"/>
      <c r="K31" s="32"/>
      <c r="L31" s="35"/>
      <c r="M31" s="35"/>
      <c r="N31" s="35"/>
      <c r="R31" s="35"/>
      <c r="S31" s="35"/>
      <c r="X31" s="77"/>
      <c r="Y31" s="2"/>
      <c r="Z31" s="22"/>
      <c r="AA31" s="21"/>
      <c r="AB31" s="22"/>
      <c r="AC31" s="23"/>
      <c r="AD31" s="57"/>
      <c r="AE31" s="96"/>
      <c r="AF31" s="2" t="s">
        <v>117</v>
      </c>
      <c r="AG31" s="22">
        <v>7.03</v>
      </c>
      <c r="AH31" s="92">
        <v>0.88296610682236565</v>
      </c>
      <c r="AI31" s="22">
        <v>4.4156664169872482</v>
      </c>
      <c r="AJ31" s="94">
        <v>0.56172337399491123</v>
      </c>
      <c r="AK31" s="3"/>
      <c r="AL31" s="32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</row>
    <row r="32" spans="1:85" ht="17.100000000000001" customHeight="1" x14ac:dyDescent="0.4">
      <c r="A32" s="71" t="s">
        <v>378</v>
      </c>
      <c r="B32" s="6"/>
      <c r="C32" s="1"/>
      <c r="D32" s="1"/>
      <c r="E32" s="6" t="s">
        <v>115</v>
      </c>
      <c r="F32" s="20"/>
      <c r="G32" s="89">
        <v>5.0678525925015767E-2</v>
      </c>
      <c r="H32" s="37"/>
      <c r="I32" s="37"/>
      <c r="J32" s="27"/>
      <c r="K32" s="32"/>
      <c r="L32" s="35"/>
      <c r="M32" s="35"/>
      <c r="N32" s="35"/>
      <c r="R32" s="35"/>
      <c r="S32" s="35"/>
      <c r="X32" s="77"/>
      <c r="Y32" s="2" t="s">
        <v>9</v>
      </c>
      <c r="Z32" s="22" t="s">
        <v>10</v>
      </c>
      <c r="AA32" s="85" t="s">
        <v>411</v>
      </c>
      <c r="AB32" s="22" t="s">
        <v>11</v>
      </c>
      <c r="AC32" s="23" t="s">
        <v>12</v>
      </c>
      <c r="AD32" s="57"/>
      <c r="AE32" s="96"/>
      <c r="AF32" s="2" t="s">
        <v>120</v>
      </c>
      <c r="AG32" s="22">
        <v>11.65</v>
      </c>
      <c r="AH32" s="92">
        <v>0.88296610682236565</v>
      </c>
      <c r="AI32" s="22">
        <v>7.6726405947159417</v>
      </c>
      <c r="AJ32" s="94">
        <v>0.11421093633108788</v>
      </c>
      <c r="AK32" s="3"/>
      <c r="AL32" s="32"/>
    </row>
    <row r="33" spans="1:38" x14ac:dyDescent="0.4">
      <c r="C33" s="1"/>
      <c r="D33" s="1"/>
      <c r="E33" s="6" t="s">
        <v>118</v>
      </c>
      <c r="F33" s="20"/>
      <c r="G33" s="89">
        <v>5.1041905208469768E-2</v>
      </c>
      <c r="H33" s="37"/>
      <c r="I33" s="37"/>
      <c r="J33" s="27"/>
      <c r="K33" s="32"/>
      <c r="L33" s="35"/>
      <c r="M33" s="35"/>
      <c r="N33" s="35"/>
      <c r="R33" s="35"/>
      <c r="S33" s="35"/>
      <c r="X33" s="95" t="s">
        <v>70</v>
      </c>
      <c r="Y33" s="2" t="s">
        <v>70</v>
      </c>
      <c r="Z33" s="22"/>
      <c r="AA33" s="92">
        <v>0.21247697375775551</v>
      </c>
      <c r="AB33" s="22"/>
      <c r="AC33" s="94">
        <v>0.62507325410842896</v>
      </c>
      <c r="AD33" s="56"/>
      <c r="AE33" s="96"/>
      <c r="AF33" s="2" t="s">
        <v>122</v>
      </c>
      <c r="AG33" s="22">
        <v>3.27</v>
      </c>
      <c r="AH33" s="92">
        <v>0.88296610682236565</v>
      </c>
      <c r="AI33" s="22">
        <v>1.075378576572561</v>
      </c>
      <c r="AJ33" s="94">
        <v>6.6743210977446177E-2</v>
      </c>
      <c r="AK33" s="3"/>
      <c r="AL33" s="32"/>
    </row>
    <row r="34" spans="1:38" x14ac:dyDescent="0.4">
      <c r="A34" s="2" t="s">
        <v>368</v>
      </c>
      <c r="B34" s="69" t="s">
        <v>2</v>
      </c>
      <c r="C34" s="1"/>
      <c r="D34" s="1"/>
      <c r="E34" s="6" t="s">
        <v>121</v>
      </c>
      <c r="F34" s="20"/>
      <c r="G34" s="89">
        <v>5.1285731787396045E-2</v>
      </c>
      <c r="H34" s="37"/>
      <c r="I34" s="37"/>
      <c r="J34" s="27"/>
      <c r="K34" s="32"/>
      <c r="L34" s="35"/>
      <c r="M34" s="35"/>
      <c r="N34" s="35"/>
      <c r="R34" s="35"/>
      <c r="S34" s="35"/>
      <c r="X34" s="96"/>
      <c r="Y34" s="2" t="s">
        <v>108</v>
      </c>
      <c r="Z34" s="22">
        <v>4.1300000499671503</v>
      </c>
      <c r="AA34" s="92">
        <v>0.6969298779768599</v>
      </c>
      <c r="AB34" s="22">
        <v>3.0522859181773514</v>
      </c>
      <c r="AC34" s="94">
        <v>2.5778740610736452E-3</v>
      </c>
      <c r="AD34" s="56"/>
      <c r="AE34" s="96"/>
      <c r="AF34" s="2" t="s">
        <v>124</v>
      </c>
      <c r="AG34" s="22">
        <v>0.32</v>
      </c>
      <c r="AH34" s="92">
        <v>0.19382115435150776</v>
      </c>
      <c r="AI34" s="22">
        <v>-0.43255736976959908</v>
      </c>
      <c r="AJ34" s="94">
        <v>4.0061724676027491E-2</v>
      </c>
      <c r="AK34" s="3"/>
      <c r="AL34" s="32"/>
    </row>
    <row r="35" spans="1:38" ht="17.100000000000001" customHeight="1" x14ac:dyDescent="0.4">
      <c r="A35" s="69" t="s">
        <v>17</v>
      </c>
      <c r="B35" s="87"/>
      <c r="C35" s="1"/>
      <c r="D35" s="1"/>
      <c r="E35" s="6" t="s">
        <v>123</v>
      </c>
      <c r="F35" s="20"/>
      <c r="G35" s="89">
        <v>5.1623763155781731E-2</v>
      </c>
      <c r="H35" s="37"/>
      <c r="I35" s="37"/>
      <c r="J35" s="27"/>
      <c r="K35" s="32"/>
      <c r="L35" s="35"/>
      <c r="M35" s="35"/>
      <c r="N35" s="35"/>
      <c r="R35" s="35"/>
      <c r="S35" s="35"/>
      <c r="X35" s="96"/>
      <c r="Y35" s="2" t="s">
        <v>110</v>
      </c>
      <c r="Z35" s="22">
        <v>8.9900001392008946</v>
      </c>
      <c r="AA35" s="92">
        <v>2.190215629630643</v>
      </c>
      <c r="AB35" s="22">
        <v>6.8531512965818777</v>
      </c>
      <c r="AC35" s="94">
        <v>5.9589801247199335E-5</v>
      </c>
      <c r="AD35" s="57"/>
      <c r="AE35" s="96"/>
      <c r="AF35" s="2" t="s">
        <v>126</v>
      </c>
      <c r="AG35" s="22">
        <v>3.48</v>
      </c>
      <c r="AH35" s="92">
        <v>0.19382115435150776</v>
      </c>
      <c r="AI35" s="22">
        <v>2.3926243686399649</v>
      </c>
      <c r="AJ35" s="94">
        <v>1.8218292042336891E-3</v>
      </c>
      <c r="AK35" s="3"/>
      <c r="AL35" s="32"/>
    </row>
    <row r="36" spans="1:38" ht="17.100000000000001" customHeight="1" x14ac:dyDescent="0.4">
      <c r="A36" s="69" t="s">
        <v>55</v>
      </c>
      <c r="B36" s="87"/>
      <c r="C36" s="1"/>
      <c r="D36" s="1"/>
      <c r="E36" s="6" t="s">
        <v>125</v>
      </c>
      <c r="F36" s="20"/>
      <c r="G36" s="89">
        <v>5.1313363066629945E-2</v>
      </c>
      <c r="H36" s="37"/>
      <c r="I36" s="37"/>
      <c r="J36" s="27"/>
      <c r="K36" s="32"/>
      <c r="L36" s="35"/>
      <c r="M36" s="35"/>
      <c r="N36" s="35"/>
      <c r="R36" s="35"/>
      <c r="S36" s="35"/>
      <c r="X36" s="96"/>
      <c r="Y36" s="2" t="s">
        <v>113</v>
      </c>
      <c r="Z36" s="22">
        <v>1.63</v>
      </c>
      <c r="AA36" s="92">
        <v>1.3217141877994476</v>
      </c>
      <c r="AB36" s="22">
        <v>0.60928181125601344</v>
      </c>
      <c r="AC36" s="94">
        <v>4.7158635394139092E-3</v>
      </c>
      <c r="AD36" s="57"/>
      <c r="AE36" s="96"/>
      <c r="AF36" s="2" t="s">
        <v>129</v>
      </c>
      <c r="AG36" s="22">
        <v>2.37</v>
      </c>
      <c r="AH36" s="92">
        <v>0.19382115435150776</v>
      </c>
      <c r="AI36" s="22">
        <v>1.5042652502067191</v>
      </c>
      <c r="AJ36" s="94">
        <v>0</v>
      </c>
      <c r="AK36" s="3"/>
      <c r="AL36" s="32"/>
    </row>
    <row r="37" spans="1:38" ht="17.100000000000001" customHeight="1" x14ac:dyDescent="0.4">
      <c r="A37" s="69" t="s">
        <v>67</v>
      </c>
      <c r="B37" s="87"/>
      <c r="D37" s="1"/>
      <c r="E37" s="6" t="s">
        <v>127</v>
      </c>
      <c r="F37" s="20"/>
      <c r="G37" s="89">
        <v>5.1243317568904705E-2</v>
      </c>
      <c r="H37" s="37"/>
      <c r="I37" s="37"/>
      <c r="J37" s="27"/>
      <c r="K37" s="32"/>
      <c r="L37" s="35"/>
      <c r="M37" s="35"/>
      <c r="N37" s="35"/>
      <c r="R37" s="35"/>
      <c r="S37" s="35"/>
      <c r="X37" s="96"/>
      <c r="Y37" s="2" t="s">
        <v>116</v>
      </c>
      <c r="Z37" s="22">
        <v>5.3699998963394879</v>
      </c>
      <c r="AA37" s="92">
        <v>1.3771277643359572</v>
      </c>
      <c r="AB37" s="22">
        <v>3.1953117120723507</v>
      </c>
      <c r="AC37" s="94">
        <v>0.11026905357724194</v>
      </c>
      <c r="AD37" s="57"/>
      <c r="AE37" s="96"/>
      <c r="AF37" s="2" t="s">
        <v>132</v>
      </c>
      <c r="AG37" s="22">
        <v>5.08</v>
      </c>
      <c r="AH37" s="92">
        <v>0.88296610682236565</v>
      </c>
      <c r="AI37" s="22">
        <v>2.5522810787514016</v>
      </c>
      <c r="AJ37" s="94">
        <v>0</v>
      </c>
    </row>
    <row r="38" spans="1:38" ht="17.100000000000001" customHeight="1" x14ac:dyDescent="0.4">
      <c r="A38" s="69" t="s">
        <v>70</v>
      </c>
      <c r="B38" s="87"/>
      <c r="E38" s="6" t="s">
        <v>130</v>
      </c>
      <c r="F38" s="20"/>
      <c r="G38" s="89">
        <v>5.1157928444977407E-2</v>
      </c>
      <c r="H38" s="37"/>
      <c r="I38" s="37"/>
      <c r="J38" s="27"/>
      <c r="K38" s="32"/>
      <c r="L38" s="35"/>
      <c r="M38" s="35"/>
      <c r="N38" s="35"/>
      <c r="R38" s="35"/>
      <c r="S38" s="35"/>
      <c r="X38" s="96"/>
      <c r="Y38" s="2" t="s">
        <v>119</v>
      </c>
      <c r="Z38" s="22">
        <v>6.2</v>
      </c>
      <c r="AA38" s="92">
        <v>0.64334736264568271</v>
      </c>
      <c r="AB38" s="22">
        <v>5.5539497771721633</v>
      </c>
      <c r="AC38" s="94">
        <v>0</v>
      </c>
      <c r="AD38" s="57"/>
      <c r="AE38" s="96"/>
      <c r="AF38" s="2" t="s">
        <v>135</v>
      </c>
      <c r="AG38" s="22">
        <v>8.5010010000000005</v>
      </c>
      <c r="AH38" s="92">
        <v>0.88296610682236565</v>
      </c>
      <c r="AI38" s="22">
        <v>4.6968709182442492</v>
      </c>
      <c r="AJ38" s="94">
        <v>0</v>
      </c>
    </row>
    <row r="39" spans="1:38" x14ac:dyDescent="0.4">
      <c r="A39" s="69" t="s">
        <v>366</v>
      </c>
      <c r="B39" s="87"/>
      <c r="E39" s="6" t="s">
        <v>133</v>
      </c>
      <c r="F39" s="20"/>
      <c r="G39" s="89">
        <v>5.1133015888126972E-2</v>
      </c>
      <c r="L39" s="35"/>
      <c r="M39" s="35"/>
      <c r="N39" s="35"/>
      <c r="R39" s="35"/>
      <c r="S39" s="35"/>
      <c r="X39" s="96"/>
      <c r="Y39" s="2" t="s">
        <v>393</v>
      </c>
      <c r="Z39" s="22">
        <v>2.29</v>
      </c>
      <c r="AA39" s="92">
        <v>0.64334736264568271</v>
      </c>
      <c r="AB39" s="22">
        <v>0.86555268458650625</v>
      </c>
      <c r="AC39" s="94">
        <v>0.13423539983642882</v>
      </c>
      <c r="AD39" s="57"/>
      <c r="AK39" s="3"/>
      <c r="AL39" s="32"/>
    </row>
    <row r="40" spans="1:38" x14ac:dyDescent="0.4">
      <c r="A40" s="69" t="s">
        <v>76</v>
      </c>
      <c r="B40" s="87"/>
      <c r="E40" s="6" t="s">
        <v>136</v>
      </c>
      <c r="F40" s="20"/>
      <c r="G40" s="89">
        <v>5.1619057074697314E-2</v>
      </c>
      <c r="L40" s="35"/>
      <c r="M40" s="35"/>
      <c r="N40" s="35"/>
      <c r="X40" s="96"/>
      <c r="Y40" s="2" t="s">
        <v>402</v>
      </c>
      <c r="Z40" s="22">
        <v>3.2</v>
      </c>
      <c r="AA40" s="92">
        <v>0.67032004603563933</v>
      </c>
      <c r="AB40" s="22">
        <v>0.81440233960252284</v>
      </c>
      <c r="AC40" s="94">
        <v>3.4922085828545165E-3</v>
      </c>
      <c r="AD40" s="57"/>
      <c r="AF40" s="8" t="s">
        <v>9</v>
      </c>
      <c r="AG40" s="8" t="s">
        <v>10</v>
      </c>
      <c r="AH40" s="80" t="s">
        <v>411</v>
      </c>
      <c r="AI40" s="8" t="s">
        <v>11</v>
      </c>
      <c r="AJ40" s="8" t="s">
        <v>12</v>
      </c>
      <c r="AK40" s="3"/>
      <c r="AL40" s="32"/>
    </row>
    <row r="41" spans="1:38" ht="17.100000000000001" customHeight="1" x14ac:dyDescent="0.4">
      <c r="A41" s="69" t="s">
        <v>79</v>
      </c>
      <c r="B41" s="87"/>
      <c r="E41" s="6" t="s">
        <v>138</v>
      </c>
      <c r="F41" s="20"/>
      <c r="G41" s="89">
        <v>6.2290671097135174E-2</v>
      </c>
      <c r="H41" s="37"/>
      <c r="I41" s="37"/>
      <c r="J41" s="27"/>
      <c r="K41" s="32"/>
      <c r="L41" s="35"/>
      <c r="M41" s="35"/>
      <c r="N41" s="35"/>
      <c r="X41" s="96"/>
      <c r="Y41" s="2" t="s">
        <v>394</v>
      </c>
      <c r="Z41" s="22">
        <v>0.17</v>
      </c>
      <c r="AA41" s="92">
        <v>0.64334736264568271</v>
      </c>
      <c r="AB41" s="22">
        <v>-0.47092611920799998</v>
      </c>
      <c r="AC41" s="94">
        <v>0.11957675090272099</v>
      </c>
      <c r="AD41" s="57"/>
      <c r="AE41" s="97" t="s">
        <v>105</v>
      </c>
      <c r="AF41" s="2" t="s">
        <v>105</v>
      </c>
      <c r="AG41" s="22"/>
      <c r="AH41" s="92">
        <v>4.9340047938915735E-2</v>
      </c>
      <c r="AI41" s="22"/>
      <c r="AJ41" s="94">
        <v>0.16096864640712738</v>
      </c>
      <c r="AK41" s="3"/>
      <c r="AL41" s="32"/>
    </row>
    <row r="42" spans="1:38" ht="17.100000000000001" customHeight="1" x14ac:dyDescent="0.4">
      <c r="A42" s="69" t="s">
        <v>82</v>
      </c>
      <c r="B42" s="87"/>
      <c r="E42" s="6" t="s">
        <v>140</v>
      </c>
      <c r="F42" s="20"/>
      <c r="G42" s="89">
        <v>9.4888949757365698E-2</v>
      </c>
      <c r="H42" s="37"/>
      <c r="I42" s="37"/>
      <c r="J42" s="27"/>
      <c r="K42" s="32"/>
      <c r="L42" s="35"/>
      <c r="M42" s="35"/>
      <c r="N42" s="35"/>
      <c r="X42" s="79"/>
      <c r="Y42" s="2"/>
      <c r="Z42" s="22"/>
      <c r="AA42" s="21"/>
      <c r="AB42" s="22"/>
      <c r="AC42" s="23"/>
      <c r="AD42" s="57"/>
      <c r="AE42" s="96"/>
      <c r="AF42" s="2" t="s">
        <v>144</v>
      </c>
      <c r="AG42" s="22">
        <v>5.670000378233917</v>
      </c>
      <c r="AH42" s="92">
        <v>0.19382115435150776</v>
      </c>
      <c r="AI42" s="22">
        <v>4.5139618490454865</v>
      </c>
      <c r="AJ42" s="94">
        <v>1.9219761891527767E-2</v>
      </c>
      <c r="AK42" s="3"/>
      <c r="AL42" s="32"/>
    </row>
    <row r="43" spans="1:38" ht="17.100000000000001" customHeight="1" x14ac:dyDescent="0.4">
      <c r="A43" s="69" t="s">
        <v>86</v>
      </c>
      <c r="B43" s="87"/>
      <c r="E43" s="6" t="s">
        <v>142</v>
      </c>
      <c r="G43" s="89">
        <v>2.8224595720654843E-4</v>
      </c>
      <c r="H43" s="37"/>
      <c r="I43" s="37"/>
      <c r="J43" s="27"/>
      <c r="K43" s="32"/>
      <c r="L43" s="35"/>
      <c r="M43" s="35"/>
      <c r="N43" s="35"/>
      <c r="X43" s="79"/>
      <c r="Y43" s="2" t="s">
        <v>9</v>
      </c>
      <c r="Z43" s="22" t="s">
        <v>10</v>
      </c>
      <c r="AA43" s="85" t="s">
        <v>411</v>
      </c>
      <c r="AB43" s="22" t="s">
        <v>11</v>
      </c>
      <c r="AC43" s="23" t="s">
        <v>12</v>
      </c>
      <c r="AD43" s="57"/>
      <c r="AE43" s="96"/>
      <c r="AF43" s="2" t="s">
        <v>146</v>
      </c>
      <c r="AG43" s="22">
        <v>1.83</v>
      </c>
      <c r="AH43" s="92">
        <v>0.19382115435150776</v>
      </c>
      <c r="AI43" s="22">
        <v>1.0089058822754633</v>
      </c>
      <c r="AJ43" s="94">
        <v>3.0478646451818255E-3</v>
      </c>
      <c r="AK43" s="3"/>
      <c r="AL43" s="32"/>
    </row>
    <row r="44" spans="1:38" x14ac:dyDescent="0.4">
      <c r="A44" s="69" t="s">
        <v>90</v>
      </c>
      <c r="B44" s="87"/>
      <c r="E44" s="6" t="s">
        <v>382</v>
      </c>
      <c r="G44" s="89">
        <v>6.1685737151107596E-2</v>
      </c>
      <c r="H44" s="37"/>
      <c r="I44" s="37"/>
      <c r="J44" s="27"/>
      <c r="K44" s="32"/>
      <c r="L44" s="35"/>
      <c r="M44" s="35"/>
      <c r="N44" s="35"/>
      <c r="X44" s="95" t="s">
        <v>366</v>
      </c>
      <c r="Y44" s="2" t="s">
        <v>73</v>
      </c>
      <c r="Z44" s="22"/>
      <c r="AA44" s="92">
        <v>0.18250618171859176</v>
      </c>
      <c r="AB44" s="22"/>
      <c r="AC44" s="94">
        <v>0.15715119242668152</v>
      </c>
      <c r="AD44" s="56"/>
      <c r="AE44" s="96"/>
      <c r="AF44" s="2" t="s">
        <v>147</v>
      </c>
      <c r="AG44" s="22">
        <v>7.13</v>
      </c>
      <c r="AH44" s="92">
        <v>0.88296610682236565</v>
      </c>
      <c r="AI44" s="22">
        <v>4.5142297115979559</v>
      </c>
      <c r="AJ44" s="94">
        <v>0.59180962235883638</v>
      </c>
      <c r="AK44" s="3"/>
      <c r="AL44" s="32"/>
    </row>
    <row r="45" spans="1:38" x14ac:dyDescent="0.4">
      <c r="A45" s="69" t="s">
        <v>234</v>
      </c>
      <c r="B45" s="87"/>
      <c r="G45" s="39"/>
      <c r="H45" s="37"/>
      <c r="I45" s="37"/>
      <c r="J45" s="27"/>
      <c r="K45" s="32"/>
      <c r="L45" s="35"/>
      <c r="M45" s="35"/>
      <c r="N45" s="35"/>
      <c r="X45" s="96"/>
      <c r="Y45" s="2" t="s">
        <v>128</v>
      </c>
      <c r="Z45" s="22">
        <v>6.0000000465118006</v>
      </c>
      <c r="AA45" s="92">
        <v>0.64854174226936345</v>
      </c>
      <c r="AB45" s="22">
        <v>4.8875027712207313</v>
      </c>
      <c r="AC45" s="94">
        <v>4.4347109050269867E-2</v>
      </c>
      <c r="AD45" s="56"/>
      <c r="AE45" s="96"/>
      <c r="AF45" s="2" t="s">
        <v>148</v>
      </c>
      <c r="AG45" s="22">
        <v>11.8</v>
      </c>
      <c r="AH45" s="92">
        <v>0.88296610682236565</v>
      </c>
      <c r="AI45" s="22">
        <v>7.8212038893266493</v>
      </c>
      <c r="AJ45" s="94">
        <v>0.13501039826998779</v>
      </c>
    </row>
    <row r="46" spans="1:38" ht="17.100000000000001" customHeight="1" x14ac:dyDescent="0.4">
      <c r="A46" s="70" t="s">
        <v>247</v>
      </c>
      <c r="B46" s="87"/>
      <c r="E46" s="39"/>
      <c r="G46" s="27"/>
      <c r="H46" s="37"/>
      <c r="I46" s="37"/>
      <c r="J46" s="27"/>
      <c r="K46" s="32"/>
      <c r="L46" s="35"/>
      <c r="M46" s="35"/>
      <c r="N46" s="35"/>
      <c r="X46" s="96"/>
      <c r="Y46" s="2" t="s">
        <v>131</v>
      </c>
      <c r="Z46" s="22">
        <v>11.740000177099178</v>
      </c>
      <c r="AA46" s="92">
        <v>1.6102258863787664</v>
      </c>
      <c r="AB46" s="22">
        <v>9.6707171110471695</v>
      </c>
      <c r="AC46" s="94">
        <v>9.8429326967619159E-3</v>
      </c>
      <c r="AD46" s="57"/>
      <c r="AE46" s="96"/>
      <c r="AF46" s="2" t="s">
        <v>149</v>
      </c>
      <c r="AG46" s="22">
        <v>3.26</v>
      </c>
      <c r="AH46" s="92">
        <v>0.88296610682236565</v>
      </c>
      <c r="AI46" s="22">
        <v>1.0639418711832684</v>
      </c>
      <c r="AJ46" s="94">
        <v>5.4584158940626265E-2</v>
      </c>
    </row>
    <row r="47" spans="1:38" ht="17.100000000000001" customHeight="1" x14ac:dyDescent="0.4">
      <c r="E47" s="39"/>
      <c r="G47" s="27"/>
      <c r="H47" s="37"/>
      <c r="I47" s="37"/>
      <c r="J47" s="27"/>
      <c r="K47" s="32"/>
      <c r="L47" s="35"/>
      <c r="M47" s="35"/>
      <c r="N47" s="35"/>
      <c r="X47" s="96"/>
      <c r="Y47" s="2" t="s">
        <v>134</v>
      </c>
      <c r="Z47" s="22">
        <v>1.82</v>
      </c>
      <c r="AA47" s="92">
        <v>1.0197823602988745</v>
      </c>
      <c r="AB47" s="22">
        <v>0.84587757462600943</v>
      </c>
      <c r="AC47" s="94">
        <v>2.0442958978790899E-3</v>
      </c>
      <c r="AD47" s="57"/>
      <c r="AE47" s="96"/>
      <c r="AF47" s="2" t="s">
        <v>151</v>
      </c>
      <c r="AG47" s="22">
        <v>0.32</v>
      </c>
      <c r="AH47" s="92">
        <v>0.19382115435150776</v>
      </c>
      <c r="AI47" s="22">
        <v>-0.4339940751588916</v>
      </c>
      <c r="AJ47" s="94">
        <v>3.3526573393777924E-2</v>
      </c>
      <c r="AK47" s="3"/>
      <c r="AL47" s="32"/>
    </row>
    <row r="48" spans="1:38" ht="17.100000000000001" customHeight="1" x14ac:dyDescent="0.4">
      <c r="A48" s="2" t="s">
        <v>369</v>
      </c>
      <c r="B48" s="68" t="s">
        <v>2</v>
      </c>
      <c r="G48" s="27"/>
      <c r="H48" s="37"/>
      <c r="I48" s="37"/>
      <c r="J48" s="27"/>
      <c r="K48" s="32"/>
      <c r="L48" s="35"/>
      <c r="M48" s="35"/>
      <c r="N48" s="35"/>
      <c r="X48" s="96"/>
      <c r="Y48" s="2" t="s">
        <v>137</v>
      </c>
      <c r="Z48" s="22">
        <v>6.7299998963394883</v>
      </c>
      <c r="AA48" s="92">
        <v>1.2146288534256264</v>
      </c>
      <c r="AB48" s="22">
        <v>4.5438080596763548</v>
      </c>
      <c r="AC48" s="94">
        <v>0.61849580576323337</v>
      </c>
      <c r="AD48" s="57"/>
      <c r="AE48" s="96"/>
      <c r="AF48" s="2" t="s">
        <v>153</v>
      </c>
      <c r="AG48" s="22">
        <v>3.56</v>
      </c>
      <c r="AH48" s="92">
        <v>0.19382115435150776</v>
      </c>
      <c r="AI48" s="22">
        <v>2.4711876632506726</v>
      </c>
      <c r="AJ48" s="94">
        <v>1.8330199259143269E-3</v>
      </c>
      <c r="AK48" s="3"/>
      <c r="AL48" s="32"/>
    </row>
    <row r="49" spans="1:38" ht="17.100000000000001" customHeight="1" x14ac:dyDescent="0.4">
      <c r="A49" s="68" t="s">
        <v>18</v>
      </c>
      <c r="B49" s="87"/>
      <c r="G49" s="27"/>
      <c r="H49" s="37"/>
      <c r="I49" s="37"/>
      <c r="J49" s="27"/>
      <c r="K49" s="32"/>
      <c r="L49" s="35"/>
      <c r="M49" s="35"/>
      <c r="N49" s="35"/>
      <c r="X49" s="96"/>
      <c r="Y49" s="2" t="s">
        <v>139</v>
      </c>
      <c r="Z49" s="22">
        <v>10.41</v>
      </c>
      <c r="AA49" s="92">
        <v>0.23413018176127925</v>
      </c>
      <c r="AB49" s="22">
        <v>7.5757685323299864</v>
      </c>
      <c r="AC49" s="94">
        <v>7.4904558754202627E-2</v>
      </c>
      <c r="AD49" s="57"/>
      <c r="AE49" s="96"/>
      <c r="AF49" s="2" t="s">
        <v>155</v>
      </c>
      <c r="AG49" s="22">
        <v>2.31</v>
      </c>
      <c r="AH49" s="92">
        <v>0.19382115435150776</v>
      </c>
      <c r="AI49" s="22">
        <v>1.4428285448174265</v>
      </c>
      <c r="AJ49" s="94">
        <v>0</v>
      </c>
      <c r="AK49" s="3"/>
      <c r="AL49" s="32"/>
    </row>
    <row r="50" spans="1:38" ht="17.100000000000001" customHeight="1" x14ac:dyDescent="0.4">
      <c r="A50" s="68" t="s">
        <v>69</v>
      </c>
      <c r="B50" s="87"/>
      <c r="G50" s="27"/>
      <c r="H50" s="37"/>
      <c r="I50" s="37"/>
      <c r="J50" s="27"/>
      <c r="K50" s="32"/>
      <c r="L50" s="35"/>
      <c r="M50" s="35"/>
      <c r="N50" s="35"/>
      <c r="X50" s="96"/>
      <c r="Y50" s="2" t="s">
        <v>141</v>
      </c>
      <c r="Z50" s="22">
        <v>8.6999999999999993</v>
      </c>
      <c r="AA50" s="92">
        <v>0.64334736264568271</v>
      </c>
      <c r="AB50" s="22">
        <v>7.9879154841120252</v>
      </c>
      <c r="AC50" s="94">
        <v>0</v>
      </c>
      <c r="AD50" s="57"/>
      <c r="AE50" s="96"/>
      <c r="AF50" s="2" t="s">
        <v>157</v>
      </c>
      <c r="AG50" s="22">
        <v>5.18</v>
      </c>
      <c r="AH50" s="92">
        <v>0.88296610682236565</v>
      </c>
      <c r="AI50" s="22">
        <v>2.650844373362109</v>
      </c>
      <c r="AJ50" s="94">
        <v>0</v>
      </c>
      <c r="AK50" s="3"/>
      <c r="AL50" s="32"/>
    </row>
    <row r="51" spans="1:38" ht="17.100000000000001" customHeight="1" x14ac:dyDescent="0.4">
      <c r="A51" s="68" t="s">
        <v>103</v>
      </c>
      <c r="B51" s="87"/>
      <c r="G51" s="27"/>
      <c r="H51" s="37"/>
      <c r="I51" s="37"/>
      <c r="J51" s="27"/>
      <c r="K51" s="32"/>
      <c r="L51" s="35"/>
      <c r="M51" s="35"/>
      <c r="N51" s="35"/>
      <c r="X51" s="96"/>
      <c r="Y51" s="2" t="s">
        <v>143</v>
      </c>
      <c r="Z51" s="22">
        <v>14.9</v>
      </c>
      <c r="AA51" s="92">
        <v>0.67032004603563933</v>
      </c>
      <c r="AB51" s="22">
        <v>14.005162231713699</v>
      </c>
      <c r="AC51" s="94">
        <v>0</v>
      </c>
      <c r="AD51" s="57"/>
      <c r="AE51" s="96"/>
      <c r="AF51" s="2" t="s">
        <v>159</v>
      </c>
      <c r="AG51" s="22">
        <v>8.66</v>
      </c>
      <c r="AH51" s="92">
        <v>0.88296610682236565</v>
      </c>
      <c r="AI51" s="22">
        <v>4.8544332128549561</v>
      </c>
      <c r="AJ51" s="94">
        <v>0</v>
      </c>
      <c r="AK51" s="3"/>
      <c r="AL51" s="32"/>
    </row>
    <row r="52" spans="1:38" ht="18.95" customHeight="1" x14ac:dyDescent="0.4">
      <c r="A52" s="68" t="s">
        <v>105</v>
      </c>
      <c r="B52" s="87"/>
      <c r="L52" s="35"/>
      <c r="M52" s="35"/>
      <c r="N52" s="35"/>
      <c r="X52" s="96"/>
      <c r="Y52" s="2" t="s">
        <v>145</v>
      </c>
      <c r="Z52" s="22">
        <v>2.359999934348342</v>
      </c>
      <c r="AA52" s="92">
        <v>0.64334736264568271</v>
      </c>
      <c r="AB52" s="22">
        <v>0.86951832587471056</v>
      </c>
      <c r="AC52" s="94">
        <v>3.405802549026455E-2</v>
      </c>
      <c r="AD52" s="57"/>
      <c r="AK52" s="3"/>
      <c r="AL52" s="32"/>
    </row>
    <row r="53" spans="1:38" x14ac:dyDescent="0.4">
      <c r="A53" s="68" t="s">
        <v>107</v>
      </c>
      <c r="B53" s="87"/>
      <c r="L53" s="35"/>
      <c r="M53" s="35"/>
      <c r="N53" s="35"/>
      <c r="X53" s="96"/>
      <c r="Y53" s="2" t="s">
        <v>395</v>
      </c>
      <c r="Z53" s="22">
        <v>0.53</v>
      </c>
      <c r="AA53" s="92">
        <v>0.64334736264568271</v>
      </c>
      <c r="AB53" s="22">
        <v>-0.17696041226813763</v>
      </c>
      <c r="AC53" s="94">
        <v>5.91560571517862E-2</v>
      </c>
      <c r="AD53" s="57"/>
      <c r="AF53" s="8" t="s">
        <v>9</v>
      </c>
      <c r="AG53" s="8" t="s">
        <v>10</v>
      </c>
      <c r="AH53" s="80" t="s">
        <v>411</v>
      </c>
      <c r="AI53" s="8" t="s">
        <v>11</v>
      </c>
      <c r="AJ53" s="8" t="s">
        <v>12</v>
      </c>
      <c r="AK53" s="3"/>
      <c r="AL53" s="32"/>
    </row>
    <row r="54" spans="1:38" x14ac:dyDescent="0.4">
      <c r="A54" s="68" t="s">
        <v>109</v>
      </c>
      <c r="B54" s="87"/>
      <c r="G54" s="27"/>
      <c r="H54" s="37"/>
      <c r="I54" s="37"/>
      <c r="J54" s="27"/>
      <c r="K54" s="32"/>
      <c r="L54" s="35"/>
      <c r="M54" s="35"/>
      <c r="N54" s="35"/>
      <c r="X54" s="77"/>
      <c r="Y54" s="2"/>
      <c r="Z54" s="22"/>
      <c r="AA54" s="21"/>
      <c r="AB54" s="22"/>
      <c r="AC54" s="23"/>
      <c r="AD54" s="56"/>
      <c r="AE54" s="97" t="s">
        <v>107</v>
      </c>
      <c r="AF54" s="2" t="s">
        <v>107</v>
      </c>
      <c r="AG54" s="22"/>
      <c r="AH54" s="92">
        <v>4.9503541829034804E-2</v>
      </c>
      <c r="AI54" s="22"/>
      <c r="AJ54" s="94">
        <v>0.13246242702007294</v>
      </c>
      <c r="AK54" s="3"/>
      <c r="AL54" s="32"/>
    </row>
    <row r="55" spans="1:38" x14ac:dyDescent="0.4">
      <c r="A55" s="68" t="s">
        <v>112</v>
      </c>
      <c r="B55" s="87"/>
      <c r="G55" s="27"/>
      <c r="H55" s="37"/>
      <c r="I55" s="37"/>
      <c r="J55" s="27"/>
      <c r="K55" s="32"/>
      <c r="X55" s="77"/>
      <c r="Y55" s="2" t="s">
        <v>9</v>
      </c>
      <c r="Z55" s="22" t="s">
        <v>10</v>
      </c>
      <c r="AA55" s="85" t="s">
        <v>411</v>
      </c>
      <c r="AB55" s="22" t="s">
        <v>11</v>
      </c>
      <c r="AC55" s="23" t="s">
        <v>12</v>
      </c>
      <c r="AD55" s="56"/>
      <c r="AE55" s="96"/>
      <c r="AF55" s="2" t="s">
        <v>162</v>
      </c>
      <c r="AG55" s="22">
        <v>5.7700003794633501</v>
      </c>
      <c r="AH55" s="92">
        <v>0.19382115435150776</v>
      </c>
      <c r="AI55" s="22">
        <v>4.6153985556642123</v>
      </c>
      <c r="AJ55" s="94">
        <v>1.9977269371275901E-2</v>
      </c>
      <c r="AK55" s="3"/>
      <c r="AL55" s="32"/>
    </row>
    <row r="56" spans="1:38" ht="17.100000000000001" customHeight="1" x14ac:dyDescent="0.4">
      <c r="A56" s="68" t="s">
        <v>115</v>
      </c>
      <c r="B56" s="87"/>
      <c r="G56" s="27"/>
      <c r="H56" s="37"/>
      <c r="I56" s="37"/>
      <c r="J56" s="27"/>
      <c r="K56" s="32"/>
      <c r="X56" s="95" t="s">
        <v>76</v>
      </c>
      <c r="Y56" s="2" t="s">
        <v>76</v>
      </c>
      <c r="Z56" s="22"/>
      <c r="AA56" s="92">
        <v>0.19473959010608025</v>
      </c>
      <c r="AB56" s="22"/>
      <c r="AC56" s="94">
        <v>0.63133573532104492</v>
      </c>
      <c r="AD56" s="57"/>
      <c r="AE56" s="96"/>
      <c r="AF56" s="2" t="s">
        <v>163</v>
      </c>
      <c r="AG56" s="22">
        <v>1.79</v>
      </c>
      <c r="AH56" s="92">
        <v>0.19382115435150776</v>
      </c>
      <c r="AI56" s="22">
        <v>0.97034258766475578</v>
      </c>
      <c r="AJ56" s="94">
        <v>2.2950058536711083E-3</v>
      </c>
    </row>
    <row r="57" spans="1:38" ht="17.100000000000001" customHeight="1" x14ac:dyDescent="0.4">
      <c r="A57" s="68" t="s">
        <v>118</v>
      </c>
      <c r="B57" s="87"/>
      <c r="G57" s="27"/>
      <c r="H57" s="37"/>
      <c r="I57" s="37"/>
      <c r="J57" s="27"/>
      <c r="K57" s="32"/>
      <c r="X57" s="96"/>
      <c r="Y57" s="2" t="s">
        <v>150</v>
      </c>
      <c r="Z57" s="22">
        <v>5.029999998136895</v>
      </c>
      <c r="AA57" s="92">
        <v>0.6969298779768599</v>
      </c>
      <c r="AB57" s="22">
        <v>3.9144282456886579</v>
      </c>
      <c r="AC57" s="94">
        <v>1.8955422977416893E-2</v>
      </c>
      <c r="AD57" s="57"/>
      <c r="AE57" s="96"/>
      <c r="AF57" s="2" t="s">
        <v>165</v>
      </c>
      <c r="AG57" s="22">
        <v>7.22</v>
      </c>
      <c r="AH57" s="92">
        <v>0.88296610682236565</v>
      </c>
      <c r="AI57" s="22">
        <v>4.6056664169872477</v>
      </c>
      <c r="AJ57" s="94">
        <v>0.60113241001843809</v>
      </c>
    </row>
    <row r="58" spans="1:38" ht="17.100000000000001" customHeight="1" x14ac:dyDescent="0.4">
      <c r="A58" s="68" t="s">
        <v>121</v>
      </c>
      <c r="B58" s="87"/>
      <c r="G58" s="27"/>
      <c r="H58" s="37"/>
      <c r="I58" s="37"/>
      <c r="J58" s="27"/>
      <c r="K58" s="32"/>
      <c r="X58" s="96"/>
      <c r="Y58" s="2" t="s">
        <v>152</v>
      </c>
      <c r="Z58" s="22">
        <v>11.09000014376196</v>
      </c>
      <c r="AA58" s="92">
        <v>2.190215629630643</v>
      </c>
      <c r="AB58" s="22">
        <v>8.9152936804845062</v>
      </c>
      <c r="AC58" s="94">
        <v>6.9445446818902426E-3</v>
      </c>
      <c r="AD58" s="57"/>
      <c r="AE58" s="96"/>
      <c r="AF58" s="2" t="s">
        <v>167</v>
      </c>
      <c r="AG58" s="22">
        <v>11.96</v>
      </c>
      <c r="AH58" s="92">
        <v>0.88296610682236565</v>
      </c>
      <c r="AI58" s="22">
        <v>7.9826405947159422</v>
      </c>
      <c r="AJ58" s="94">
        <v>0.16112218389357047</v>
      </c>
      <c r="AK58" s="3"/>
      <c r="AL58" s="32"/>
    </row>
    <row r="59" spans="1:38" ht="17.100000000000001" customHeight="1" x14ac:dyDescent="0.4">
      <c r="A59" s="68" t="s">
        <v>123</v>
      </c>
      <c r="B59" s="87"/>
      <c r="G59" s="27"/>
      <c r="H59" s="37"/>
      <c r="I59" s="37"/>
      <c r="J59" s="27"/>
      <c r="K59" s="32"/>
      <c r="X59" s="96"/>
      <c r="Y59" s="2" t="s">
        <v>154</v>
      </c>
      <c r="Z59" s="22">
        <v>1.74</v>
      </c>
      <c r="AA59" s="92">
        <v>1.3217141877994476</v>
      </c>
      <c r="AB59" s="22">
        <v>0.68142419059757553</v>
      </c>
      <c r="AC59" s="94">
        <v>5.623841403107805E-3</v>
      </c>
      <c r="AD59" s="57"/>
      <c r="AE59" s="96"/>
      <c r="AF59" s="2" t="s">
        <v>169</v>
      </c>
      <c r="AG59" s="22">
        <v>3.34</v>
      </c>
      <c r="AH59" s="92">
        <v>0.88296610682236565</v>
      </c>
      <c r="AI59" s="22">
        <v>1.1453785765725608</v>
      </c>
      <c r="AJ59" s="94">
        <v>5.4181964109571504E-2</v>
      </c>
      <c r="AK59" s="3"/>
      <c r="AL59" s="32"/>
    </row>
    <row r="60" spans="1:38" ht="17.100000000000001" customHeight="1" x14ac:dyDescent="0.4">
      <c r="A60" s="68" t="s">
        <v>125</v>
      </c>
      <c r="B60" s="87"/>
      <c r="G60" s="27"/>
      <c r="H60" s="37"/>
      <c r="I60" s="37"/>
      <c r="J60" s="27"/>
      <c r="K60" s="32"/>
      <c r="X60" s="96"/>
      <c r="Y60" s="2" t="s">
        <v>156</v>
      </c>
      <c r="Z60" s="22">
        <v>4.7099998963394878</v>
      </c>
      <c r="AA60" s="92">
        <v>1.3771277643359572</v>
      </c>
      <c r="AB60" s="22">
        <v>2.4974540914139123</v>
      </c>
      <c r="AC60" s="94">
        <v>2.233189011353201E-2</v>
      </c>
      <c r="AD60" s="57"/>
      <c r="AE60" s="96"/>
      <c r="AF60" s="2" t="s">
        <v>171</v>
      </c>
      <c r="AG60" s="22">
        <v>0.31</v>
      </c>
      <c r="AH60" s="92">
        <v>0.19382115435150776</v>
      </c>
      <c r="AI60" s="22">
        <v>-0.44255736976959908</v>
      </c>
      <c r="AJ60" s="94">
        <v>2.7050624119874293E-2</v>
      </c>
      <c r="AK60" s="3"/>
      <c r="AL60" s="32"/>
    </row>
    <row r="61" spans="1:38" ht="17.100000000000001" customHeight="1" x14ac:dyDescent="0.4">
      <c r="A61" s="68" t="s">
        <v>127</v>
      </c>
      <c r="B61" s="87"/>
      <c r="G61" s="27"/>
      <c r="H61" s="37"/>
      <c r="I61" s="37"/>
      <c r="J61" s="27"/>
      <c r="K61" s="32"/>
      <c r="X61" s="96"/>
      <c r="Y61" s="2" t="s">
        <v>158</v>
      </c>
      <c r="Z61" s="22">
        <v>7.25</v>
      </c>
      <c r="AA61" s="92">
        <v>0.46154164348032778</v>
      </c>
      <c r="AB61" s="22">
        <v>4.1491917148294508</v>
      </c>
      <c r="AC61" s="94">
        <v>1.1268707966669155E-4</v>
      </c>
      <c r="AD61" s="57"/>
      <c r="AE61" s="96"/>
      <c r="AF61" s="2" t="s">
        <v>173</v>
      </c>
      <c r="AG61" s="22">
        <v>3.63</v>
      </c>
      <c r="AH61" s="92">
        <v>0.19382115435150776</v>
      </c>
      <c r="AI61" s="22">
        <v>2.5426243686399648</v>
      </c>
      <c r="AJ61" s="94">
        <v>1.7780964193439908E-3</v>
      </c>
      <c r="AK61" s="3"/>
      <c r="AL61" s="32"/>
    </row>
    <row r="62" spans="1:38" ht="17.100000000000001" customHeight="1" x14ac:dyDescent="0.4">
      <c r="A62" s="68" t="s">
        <v>130</v>
      </c>
      <c r="B62" s="87"/>
      <c r="G62" s="27"/>
      <c r="H62" s="37"/>
      <c r="I62" s="37"/>
      <c r="J62" s="27"/>
      <c r="K62" s="32"/>
      <c r="X62" s="96"/>
      <c r="Y62" s="2" t="s">
        <v>160</v>
      </c>
      <c r="Z62" s="22">
        <v>6.8</v>
      </c>
      <c r="AA62" s="92">
        <v>0.64334736264568271</v>
      </c>
      <c r="AB62" s="22">
        <v>6.1160921565137247</v>
      </c>
      <c r="AC62" s="94">
        <v>0</v>
      </c>
      <c r="AD62" s="57"/>
      <c r="AE62" s="96"/>
      <c r="AF62" s="2" t="s">
        <v>175</v>
      </c>
      <c r="AG62" s="22">
        <v>2.27</v>
      </c>
      <c r="AH62" s="92">
        <v>0.19382115435150776</v>
      </c>
      <c r="AI62" s="22">
        <v>1.404265250206719</v>
      </c>
      <c r="AJ62" s="94">
        <v>0</v>
      </c>
      <c r="AK62" s="3"/>
      <c r="AL62" s="32"/>
    </row>
    <row r="63" spans="1:38" ht="17.100000000000001" customHeight="1" x14ac:dyDescent="0.4">
      <c r="A63" s="68" t="s">
        <v>133</v>
      </c>
      <c r="B63" s="87"/>
      <c r="G63" s="27"/>
      <c r="H63" s="37"/>
      <c r="I63" s="37"/>
      <c r="J63" s="27"/>
      <c r="K63" s="32"/>
      <c r="X63" s="96"/>
      <c r="Y63" s="2" t="s">
        <v>161</v>
      </c>
      <c r="Z63" s="22">
        <v>14.7</v>
      </c>
      <c r="AA63" s="92">
        <v>0.67032004603563933</v>
      </c>
      <c r="AB63" s="22">
        <v>13.833338904115399</v>
      </c>
      <c r="AC63" s="94">
        <v>0</v>
      </c>
      <c r="AD63" s="57"/>
      <c r="AE63" s="96"/>
      <c r="AF63" s="2" t="s">
        <v>177</v>
      </c>
      <c r="AG63" s="22">
        <v>5.27</v>
      </c>
      <c r="AH63" s="92">
        <v>0.88296610682236565</v>
      </c>
      <c r="AI63" s="22">
        <v>2.7422810787514011</v>
      </c>
      <c r="AJ63" s="94">
        <v>0</v>
      </c>
      <c r="AK63" s="3"/>
      <c r="AL63" s="32"/>
    </row>
    <row r="64" spans="1:38" ht="17.100000000000001" customHeight="1" x14ac:dyDescent="0.4">
      <c r="A64" s="68" t="s">
        <v>136</v>
      </c>
      <c r="B64" s="87"/>
      <c r="G64" s="27"/>
      <c r="H64" s="37"/>
      <c r="I64" s="37"/>
      <c r="J64" s="27"/>
      <c r="K64" s="32"/>
      <c r="X64" s="96"/>
      <c r="Y64" s="2" t="s">
        <v>396</v>
      </c>
      <c r="Z64" s="22">
        <v>2.36</v>
      </c>
      <c r="AA64" s="92">
        <v>0.64334736264568271</v>
      </c>
      <c r="AB64" s="22">
        <v>0.89769506392806808</v>
      </c>
      <c r="AC64" s="94">
        <v>0.14599530705162361</v>
      </c>
      <c r="AD64" s="57"/>
      <c r="AE64" s="96"/>
      <c r="AF64" s="2" t="s">
        <v>179</v>
      </c>
      <c r="AG64" s="22">
        <v>8.8100009999999997</v>
      </c>
      <c r="AH64" s="92">
        <v>0.88296610682236565</v>
      </c>
      <c r="AI64" s="22">
        <v>5.0058709182442485</v>
      </c>
      <c r="AJ64" s="94">
        <v>0</v>
      </c>
      <c r="AK64" s="3"/>
      <c r="AL64" s="32"/>
    </row>
    <row r="65" spans="1:38" x14ac:dyDescent="0.4">
      <c r="A65" s="68" t="s">
        <v>138</v>
      </c>
      <c r="B65" s="87"/>
      <c r="X65" s="96"/>
      <c r="Y65" s="2" t="s">
        <v>403</v>
      </c>
      <c r="Z65" s="22">
        <v>3.63</v>
      </c>
      <c r="AA65" s="92">
        <v>0.67032004603563933</v>
      </c>
      <c r="AB65" s="22">
        <v>1.2065447189440848</v>
      </c>
      <c r="AC65" s="94">
        <v>8.7010569351725006E-3</v>
      </c>
      <c r="AD65" s="56"/>
      <c r="AK65" s="3"/>
      <c r="AL65" s="32"/>
    </row>
    <row r="66" spans="1:38" x14ac:dyDescent="0.4">
      <c r="A66" s="68" t="s">
        <v>140</v>
      </c>
      <c r="B66" s="87"/>
      <c r="X66" s="96"/>
      <c r="Y66" s="2" t="s">
        <v>397</v>
      </c>
      <c r="Z66" s="22">
        <v>0.33</v>
      </c>
      <c r="AA66" s="92">
        <v>0.64334736264568271</v>
      </c>
      <c r="AB66" s="22">
        <v>-0.34878373986643801</v>
      </c>
      <c r="AC66" s="94">
        <v>0.15999948465545233</v>
      </c>
      <c r="AD66" s="56"/>
      <c r="AF66" s="8" t="s">
        <v>9</v>
      </c>
      <c r="AG66" s="8" t="s">
        <v>10</v>
      </c>
      <c r="AH66" s="80" t="s">
        <v>411</v>
      </c>
      <c r="AI66" s="8" t="s">
        <v>11</v>
      </c>
      <c r="AJ66" s="8" t="s">
        <v>12</v>
      </c>
    </row>
    <row r="67" spans="1:38" ht="17.100000000000001" customHeight="1" x14ac:dyDescent="0.4">
      <c r="A67" s="68" t="s">
        <v>142</v>
      </c>
      <c r="B67" s="87"/>
      <c r="G67" s="27"/>
      <c r="H67" s="37"/>
      <c r="I67" s="37"/>
      <c r="J67" s="27"/>
      <c r="K67" s="32"/>
      <c r="X67" s="77"/>
      <c r="Y67" s="2"/>
      <c r="Z67" s="22"/>
      <c r="AA67" s="21"/>
      <c r="AB67" s="22"/>
      <c r="AC67" s="23"/>
      <c r="AD67" s="57"/>
      <c r="AE67" s="97" t="s">
        <v>109</v>
      </c>
      <c r="AF67" s="2" t="s">
        <v>109</v>
      </c>
      <c r="AG67" s="22"/>
      <c r="AH67" s="92">
        <v>5.012181140685356E-2</v>
      </c>
      <c r="AI67" s="22"/>
      <c r="AJ67" s="94">
        <v>0.11083893477916718</v>
      </c>
    </row>
    <row r="68" spans="1:38" x14ac:dyDescent="0.4">
      <c r="A68" s="68" t="s">
        <v>382</v>
      </c>
      <c r="B68" s="87"/>
      <c r="G68" s="27"/>
      <c r="H68" s="37"/>
      <c r="I68" s="37"/>
      <c r="J68" s="27"/>
      <c r="K68" s="32"/>
      <c r="X68" s="77"/>
      <c r="Y68" s="2" t="s">
        <v>9</v>
      </c>
      <c r="Z68" s="22" t="s">
        <v>10</v>
      </c>
      <c r="AA68" s="85" t="s">
        <v>411</v>
      </c>
      <c r="AB68" s="22" t="s">
        <v>11</v>
      </c>
      <c r="AC68" s="23" t="s">
        <v>12</v>
      </c>
      <c r="AD68" s="57"/>
      <c r="AE68" s="96"/>
      <c r="AF68" s="2" t="s">
        <v>181</v>
      </c>
      <c r="AG68" s="22">
        <v>5.8100003790429007</v>
      </c>
      <c r="AH68" s="92">
        <v>0.19382115435150776</v>
      </c>
      <c r="AI68" s="22">
        <v>4.6607890407870061</v>
      </c>
      <c r="AJ68" s="94">
        <v>1.8557789575953231E-2</v>
      </c>
      <c r="AK68" s="3"/>
      <c r="AL68" s="32"/>
    </row>
    <row r="69" spans="1:38" x14ac:dyDescent="0.4">
      <c r="G69" s="27"/>
      <c r="H69" s="37"/>
      <c r="I69" s="37"/>
      <c r="J69" s="27"/>
      <c r="K69" s="32"/>
      <c r="X69" s="95" t="s">
        <v>79</v>
      </c>
      <c r="Y69" s="2" t="s">
        <v>79</v>
      </c>
      <c r="Z69" s="22"/>
      <c r="AA69" s="92">
        <v>0.24202213798873498</v>
      </c>
      <c r="AB69" s="22"/>
      <c r="AC69" s="94">
        <v>3.1217579632425441E-9</v>
      </c>
      <c r="AD69" s="57"/>
      <c r="AE69" s="96"/>
      <c r="AF69" s="2" t="s">
        <v>183</v>
      </c>
      <c r="AG69" s="22">
        <v>1.75</v>
      </c>
      <c r="AH69" s="92">
        <v>0.19382115435150776</v>
      </c>
      <c r="AI69" s="22">
        <v>0.93573307320799881</v>
      </c>
      <c r="AJ69" s="94">
        <v>1.7732661276458849E-3</v>
      </c>
      <c r="AK69" s="3"/>
      <c r="AL69" s="32"/>
    </row>
    <row r="70" spans="1:38" x14ac:dyDescent="0.4">
      <c r="G70" s="27"/>
      <c r="H70" s="37"/>
      <c r="I70" s="37"/>
      <c r="J70" s="27"/>
      <c r="K70" s="32"/>
      <c r="X70" s="96"/>
      <c r="Y70" s="2" t="s">
        <v>164</v>
      </c>
      <c r="Z70" s="22">
        <v>8.1200000000000117</v>
      </c>
      <c r="AA70" s="92">
        <v>0.6969298779768599</v>
      </c>
      <c r="AB70" s="22">
        <v>7.0988290891122077</v>
      </c>
      <c r="AC70" s="94">
        <v>1.4330890552524738E-7</v>
      </c>
      <c r="AD70" s="57"/>
      <c r="AE70" s="96"/>
      <c r="AF70" s="2" t="s">
        <v>185</v>
      </c>
      <c r="AG70" s="22">
        <v>7.3</v>
      </c>
      <c r="AH70" s="92">
        <v>0.88296610682236565</v>
      </c>
      <c r="AI70" s="22">
        <v>4.6910569025304909</v>
      </c>
      <c r="AJ70" s="94">
        <v>0.61229436748418342</v>
      </c>
      <c r="AK70" s="3"/>
      <c r="AL70" s="32"/>
    </row>
    <row r="71" spans="1:38" x14ac:dyDescent="0.4">
      <c r="G71" s="27"/>
      <c r="H71" s="37"/>
      <c r="I71" s="37"/>
      <c r="J71" s="27"/>
      <c r="K71" s="32"/>
      <c r="X71" s="96"/>
      <c r="Y71" s="2" t="s">
        <v>166</v>
      </c>
      <c r="Z71" s="22">
        <v>10.8</v>
      </c>
      <c r="AA71" s="92">
        <v>1.3771277643359572</v>
      </c>
      <c r="AB71" s="22">
        <v>8.6818550366348575</v>
      </c>
      <c r="AC71" s="94">
        <v>1.6883608898879808E-4</v>
      </c>
      <c r="AD71" s="57"/>
      <c r="AE71" s="96"/>
      <c r="AF71" s="2" t="s">
        <v>187</v>
      </c>
      <c r="AG71" s="22">
        <v>12.11</v>
      </c>
      <c r="AH71" s="92">
        <v>0.88296610682236565</v>
      </c>
      <c r="AI71" s="22">
        <v>8.1380310802591822</v>
      </c>
      <c r="AJ71" s="94">
        <v>0.19281706176555863</v>
      </c>
      <c r="AK71" s="3"/>
      <c r="AL71" s="32"/>
    </row>
    <row r="72" spans="1:38" x14ac:dyDescent="0.4">
      <c r="G72" s="27"/>
      <c r="H72" s="37"/>
      <c r="I72" s="37"/>
      <c r="J72" s="27"/>
      <c r="K72" s="32"/>
      <c r="X72" s="96"/>
      <c r="Y72" s="2" t="s">
        <v>168</v>
      </c>
      <c r="Z72" s="22">
        <v>18.139999896339489</v>
      </c>
      <c r="AA72" s="92">
        <v>0.46154164348032778</v>
      </c>
      <c r="AB72" s="22">
        <v>15.133592452729374</v>
      </c>
      <c r="AC72" s="94">
        <v>5.3754362778987444E-2</v>
      </c>
      <c r="AD72" s="57"/>
      <c r="AE72" s="96"/>
      <c r="AF72" s="2" t="s">
        <v>189</v>
      </c>
      <c r="AG72" s="22">
        <v>3.28</v>
      </c>
      <c r="AH72" s="92">
        <v>0.88296610682236565</v>
      </c>
      <c r="AI72" s="22">
        <v>1.0907690621158039</v>
      </c>
      <c r="AJ72" s="94">
        <v>3.9980191045824051E-2</v>
      </c>
      <c r="AK72" s="3"/>
      <c r="AL72" s="32"/>
    </row>
    <row r="73" spans="1:38" x14ac:dyDescent="0.4">
      <c r="G73" s="27"/>
      <c r="H73" s="37"/>
      <c r="I73" s="37"/>
      <c r="J73" s="27"/>
      <c r="K73" s="32"/>
      <c r="X73" s="96"/>
      <c r="Y73" s="2" t="s">
        <v>170</v>
      </c>
      <c r="Z73" s="22">
        <v>20.45</v>
      </c>
      <c r="AA73" s="92">
        <v>2.6114617231352337E-5</v>
      </c>
      <c r="AB73" s="22">
        <v>20.327893961647312</v>
      </c>
      <c r="AC73" s="94">
        <v>0.94607647907701986</v>
      </c>
      <c r="AD73" s="57"/>
      <c r="AE73" s="96"/>
      <c r="AF73" s="2" t="s">
        <v>191</v>
      </c>
      <c r="AG73" s="22">
        <v>0.3</v>
      </c>
      <c r="AH73" s="92">
        <v>0.19382115435150776</v>
      </c>
      <c r="AI73" s="22">
        <v>-0.44716688422635603</v>
      </c>
      <c r="AJ73" s="94">
        <v>2.2395842804096275E-2</v>
      </c>
      <c r="AK73" s="3"/>
      <c r="AL73" s="32"/>
    </row>
    <row r="74" spans="1:38" x14ac:dyDescent="0.4">
      <c r="G74" s="27"/>
      <c r="H74" s="37"/>
      <c r="I74" s="37"/>
      <c r="J74" s="27"/>
      <c r="K74" s="32"/>
      <c r="X74" s="96"/>
      <c r="Y74" s="2" t="s">
        <v>172</v>
      </c>
      <c r="Z74" s="22">
        <v>6.8</v>
      </c>
      <c r="AA74" s="92">
        <v>0.64334736264568271</v>
      </c>
      <c r="AB74" s="22">
        <v>5.8807988401035587</v>
      </c>
      <c r="AC74" s="94">
        <v>9.1292752005872727E-8</v>
      </c>
      <c r="AD74" s="57"/>
      <c r="AE74" s="96"/>
      <c r="AF74" s="2" t="s">
        <v>193</v>
      </c>
      <c r="AG74" s="22">
        <v>3.58</v>
      </c>
      <c r="AH74" s="92">
        <v>0.19382115435150776</v>
      </c>
      <c r="AI74" s="22">
        <v>2.4980148541832081</v>
      </c>
      <c r="AJ74" s="94">
        <v>1.3425962449759828E-3</v>
      </c>
      <c r="AK74" s="3"/>
      <c r="AL74" s="32"/>
    </row>
    <row r="75" spans="1:38" x14ac:dyDescent="0.4">
      <c r="G75" s="27"/>
      <c r="H75" s="37"/>
      <c r="I75" s="37"/>
      <c r="J75" s="27"/>
      <c r="K75" s="32"/>
      <c r="X75" s="96"/>
      <c r="Y75" s="2" t="s">
        <v>174</v>
      </c>
      <c r="Z75" s="22">
        <v>9</v>
      </c>
      <c r="AA75" s="92">
        <v>0.67032004603563933</v>
      </c>
      <c r="AB75" s="22">
        <v>7.5683514297346335</v>
      </c>
      <c r="AC75" s="94">
        <v>1.7109098212906467E-10</v>
      </c>
      <c r="AD75" s="56"/>
      <c r="AE75" s="96"/>
      <c r="AF75" s="2" t="s">
        <v>194</v>
      </c>
      <c r="AG75" s="22">
        <v>2.23</v>
      </c>
      <c r="AH75" s="92">
        <v>0.19382115435150776</v>
      </c>
      <c r="AI75" s="22">
        <v>1.3696557357499619</v>
      </c>
      <c r="AJ75" s="94">
        <v>0</v>
      </c>
      <c r="AK75" s="3"/>
      <c r="AL75" s="32"/>
    </row>
    <row r="76" spans="1:38" x14ac:dyDescent="0.4">
      <c r="G76" s="27"/>
      <c r="H76" s="37"/>
      <c r="I76" s="37"/>
      <c r="J76" s="27"/>
      <c r="K76" s="32"/>
      <c r="X76" s="96"/>
      <c r="Y76" s="2" t="s">
        <v>176</v>
      </c>
      <c r="Z76" s="22">
        <v>11.3</v>
      </c>
      <c r="AA76" s="92">
        <v>0.37341290832755286</v>
      </c>
      <c r="AB76" s="22">
        <v>9.6278335821170558</v>
      </c>
      <c r="AC76" s="94">
        <v>7.5500095748916953E-13</v>
      </c>
      <c r="AD76" s="56"/>
      <c r="AE76" s="96"/>
      <c r="AF76" s="2" t="s">
        <v>195</v>
      </c>
      <c r="AG76" s="22">
        <v>5.35</v>
      </c>
      <c r="AH76" s="92">
        <v>0.88296610682236565</v>
      </c>
      <c r="AI76" s="22">
        <v>2.8276715642946448</v>
      </c>
      <c r="AJ76" s="94">
        <v>0</v>
      </c>
      <c r="AK76" s="3"/>
      <c r="AL76" s="32"/>
    </row>
    <row r="77" spans="1:38" ht="17.100000000000001" customHeight="1" x14ac:dyDescent="0.4">
      <c r="G77" s="27"/>
      <c r="H77" s="37"/>
      <c r="I77" s="37"/>
      <c r="J77" s="27"/>
      <c r="K77" s="32"/>
      <c r="X77" s="96"/>
      <c r="Y77" s="2" t="s">
        <v>178</v>
      </c>
      <c r="Z77" s="22">
        <v>12.6</v>
      </c>
      <c r="AA77" s="92">
        <v>6.5534209250335457E-2</v>
      </c>
      <c r="AB77" s="22">
        <v>11.188944117323901</v>
      </c>
      <c r="AC77" s="94">
        <v>1.057538698067495E-15</v>
      </c>
      <c r="AD77" s="57"/>
      <c r="AE77" s="96"/>
      <c r="AF77" s="2" t="s">
        <v>196</v>
      </c>
      <c r="AG77" s="22">
        <v>8.9600000000000009</v>
      </c>
      <c r="AH77" s="92">
        <v>0.88296610682236565</v>
      </c>
      <c r="AI77" s="22">
        <v>5.1612604037874927</v>
      </c>
      <c r="AJ77" s="94">
        <v>0</v>
      </c>
    </row>
    <row r="78" spans="1:38" x14ac:dyDescent="0.4">
      <c r="X78" s="77"/>
      <c r="Y78" s="2"/>
      <c r="Z78" s="22"/>
      <c r="AA78" s="21"/>
      <c r="AB78" s="22"/>
      <c r="AC78" s="23"/>
      <c r="AD78" s="57"/>
    </row>
    <row r="79" spans="1:38" x14ac:dyDescent="0.4">
      <c r="X79" s="77"/>
      <c r="Y79" s="2" t="s">
        <v>9</v>
      </c>
      <c r="Z79" s="22" t="s">
        <v>10</v>
      </c>
      <c r="AA79" s="85" t="s">
        <v>411</v>
      </c>
      <c r="AB79" s="22" t="s">
        <v>11</v>
      </c>
      <c r="AC79" s="23" t="s">
        <v>12</v>
      </c>
      <c r="AD79" s="57"/>
      <c r="AF79" s="8" t="s">
        <v>9</v>
      </c>
      <c r="AG79" s="8" t="s">
        <v>10</v>
      </c>
      <c r="AH79" s="80" t="s">
        <v>411</v>
      </c>
      <c r="AI79" s="8" t="s">
        <v>11</v>
      </c>
      <c r="AJ79" s="8" t="s">
        <v>12</v>
      </c>
      <c r="AK79" s="3"/>
      <c r="AL79" s="32"/>
    </row>
    <row r="80" spans="1:38" ht="17.100000000000001" customHeight="1" x14ac:dyDescent="0.4">
      <c r="G80" s="27"/>
      <c r="H80" s="37"/>
      <c r="I80" s="37"/>
      <c r="J80" s="27"/>
      <c r="K80" s="32"/>
      <c r="X80" s="95" t="s">
        <v>82</v>
      </c>
      <c r="Y80" s="2" t="s">
        <v>82</v>
      </c>
      <c r="Z80" s="22"/>
      <c r="AA80" s="92">
        <v>7.7134827637384523E-2</v>
      </c>
      <c r="AB80" s="22"/>
      <c r="AC80" s="94">
        <v>1.5519977547228336E-2</v>
      </c>
      <c r="AD80" s="57"/>
      <c r="AE80" s="97" t="s">
        <v>112</v>
      </c>
      <c r="AF80" s="2" t="s">
        <v>112</v>
      </c>
      <c r="AG80" s="22"/>
      <c r="AH80" s="92">
        <v>5.0550225681369028E-2</v>
      </c>
      <c r="AI80" s="22"/>
      <c r="AJ80" s="94">
        <v>9.2965513467788696E-2</v>
      </c>
      <c r="AK80" s="3"/>
      <c r="AL80" s="32"/>
    </row>
    <row r="81" spans="7:38" ht="17.100000000000001" customHeight="1" x14ac:dyDescent="0.4">
      <c r="G81" s="27"/>
      <c r="H81" s="37"/>
      <c r="I81" s="37"/>
      <c r="J81" s="27"/>
      <c r="K81" s="32"/>
      <c r="X81" s="96"/>
      <c r="Y81" s="2" t="s">
        <v>180</v>
      </c>
      <c r="Z81" s="22">
        <v>8.6000010672439018</v>
      </c>
      <c r="AA81" s="92">
        <v>0.6969298779768599</v>
      </c>
      <c r="AB81" s="22">
        <v>7.0822255766423741</v>
      </c>
      <c r="AC81" s="94">
        <v>0.68574322753868611</v>
      </c>
      <c r="AD81" s="57"/>
      <c r="AE81" s="96"/>
      <c r="AF81" s="2" t="s">
        <v>201</v>
      </c>
      <c r="AG81" s="22">
        <v>5.8300003781315954</v>
      </c>
      <c r="AH81" s="92">
        <v>0.19382115435150776</v>
      </c>
      <c r="AI81" s="22">
        <v>4.6844853806657101</v>
      </c>
      <c r="AJ81" s="94">
        <v>1.6438118803149143E-2</v>
      </c>
      <c r="AK81" s="3"/>
      <c r="AL81" s="32"/>
    </row>
    <row r="82" spans="7:38" ht="17.100000000000001" customHeight="1" x14ac:dyDescent="0.4">
      <c r="G82" s="27"/>
      <c r="H82" s="37"/>
      <c r="I82" s="37"/>
      <c r="J82" s="27"/>
      <c r="K82" s="32"/>
      <c r="X82" s="96"/>
      <c r="Y82" s="2" t="s">
        <v>182</v>
      </c>
      <c r="Z82" s="22">
        <v>14.340000196684107</v>
      </c>
      <c r="AA82" s="92">
        <v>2.190215629630643</v>
      </c>
      <c r="AB82" s="22">
        <v>11.763089995253361</v>
      </c>
      <c r="AC82" s="94">
        <v>0.12024604686255873</v>
      </c>
      <c r="AD82" s="57"/>
      <c r="AE82" s="96"/>
      <c r="AF82" s="2" t="s">
        <v>203</v>
      </c>
      <c r="AG82" s="22">
        <v>1.6</v>
      </c>
      <c r="AH82" s="92">
        <v>0.19382115435150776</v>
      </c>
      <c r="AI82" s="22">
        <v>0.78942941399800803</v>
      </c>
      <c r="AJ82" s="94">
        <v>1.0619395318651522E-3</v>
      </c>
      <c r="AK82" s="3"/>
      <c r="AL82" s="32"/>
    </row>
    <row r="83" spans="7:38" ht="17.100000000000001" customHeight="1" x14ac:dyDescent="0.4">
      <c r="G83" s="27"/>
      <c r="H83" s="37"/>
      <c r="I83" s="37"/>
      <c r="J83" s="27"/>
      <c r="K83" s="32"/>
      <c r="X83" s="96"/>
      <c r="Y83" s="2" t="s">
        <v>184</v>
      </c>
      <c r="Z83" s="22">
        <v>18.740000388320603</v>
      </c>
      <c r="AA83" s="92">
        <v>0.2742603838409427</v>
      </c>
      <c r="AB83" s="22">
        <v>16.503577060702007</v>
      </c>
      <c r="AC83" s="94">
        <v>2.4188154558629726E-2</v>
      </c>
      <c r="AD83" s="57"/>
      <c r="AE83" s="96"/>
      <c r="AF83" s="2" t="s">
        <v>205</v>
      </c>
      <c r="AG83" s="22">
        <v>7.37</v>
      </c>
      <c r="AH83" s="92">
        <v>0.88296610682236565</v>
      </c>
      <c r="AI83" s="22">
        <v>4.7647532433205004</v>
      </c>
      <c r="AJ83" s="94">
        <v>0.60853580198041068</v>
      </c>
      <c r="AK83" s="3"/>
      <c r="AL83" s="32"/>
    </row>
    <row r="84" spans="7:38" ht="17.100000000000001" customHeight="1" x14ac:dyDescent="0.4">
      <c r="G84" s="27"/>
      <c r="H84" s="37"/>
      <c r="I84" s="37"/>
      <c r="J84" s="27"/>
      <c r="K84" s="32"/>
      <c r="X84" s="96"/>
      <c r="Y84" s="2" t="s">
        <v>186</v>
      </c>
      <c r="Z84" s="22">
        <v>18.57</v>
      </c>
      <c r="AA84" s="92">
        <v>0.11394265565462659</v>
      </c>
      <c r="AB84" s="22">
        <v>16.153216494047321</v>
      </c>
      <c r="AC84" s="94">
        <v>3.9471808965025314E-8</v>
      </c>
      <c r="AD84" s="57"/>
      <c r="AE84" s="96"/>
      <c r="AF84" s="2" t="s">
        <v>207</v>
      </c>
      <c r="AG84" s="22">
        <v>12.24</v>
      </c>
      <c r="AH84" s="92">
        <v>0.88296610682236565</v>
      </c>
      <c r="AI84" s="22">
        <v>8.2717274210491922</v>
      </c>
      <c r="AJ84" s="94">
        <v>0.22002464573132485</v>
      </c>
      <c r="AK84" s="3"/>
      <c r="AL84" s="32"/>
    </row>
    <row r="85" spans="7:38" ht="17.100000000000001" customHeight="1" x14ac:dyDescent="0.4">
      <c r="G85" s="27"/>
      <c r="H85" s="37"/>
      <c r="I85" s="37"/>
      <c r="J85" s="27"/>
      <c r="K85" s="32"/>
      <c r="X85" s="96"/>
      <c r="Y85" s="2" t="s">
        <v>188</v>
      </c>
      <c r="Z85" s="22">
        <v>7.53</v>
      </c>
      <c r="AA85" s="92">
        <v>1.3771277643359572</v>
      </c>
      <c r="AB85" s="22">
        <v>4.9152504569211342</v>
      </c>
      <c r="AC85" s="94">
        <v>0.1436655249358918</v>
      </c>
      <c r="AD85" s="57"/>
      <c r="AE85" s="96"/>
      <c r="AF85" s="2" t="s">
        <v>209</v>
      </c>
      <c r="AG85" s="22">
        <v>3.37</v>
      </c>
      <c r="AH85" s="92">
        <v>0.88296610682236565</v>
      </c>
      <c r="AI85" s="22">
        <v>1.184465402905813</v>
      </c>
      <c r="AJ85" s="94">
        <v>4.1607415022215266E-2</v>
      </c>
      <c r="AK85" s="3"/>
      <c r="AL85" s="32"/>
    </row>
    <row r="86" spans="7:38" ht="17.100000000000001" customHeight="1" x14ac:dyDescent="0.4">
      <c r="G86" s="27"/>
      <c r="H86" s="37"/>
      <c r="I86" s="37"/>
      <c r="J86" s="27"/>
      <c r="K86" s="32"/>
      <c r="X86" s="96"/>
      <c r="Y86" s="2" t="s">
        <v>190</v>
      </c>
      <c r="Z86" s="22">
        <v>5.61</v>
      </c>
      <c r="AA86" s="92">
        <v>0.64334736264568271</v>
      </c>
      <c r="AB86" s="22">
        <v>4.1941942603898363</v>
      </c>
      <c r="AC86" s="94">
        <v>9.3394989949708365E-3</v>
      </c>
      <c r="AD86" s="57"/>
      <c r="AE86" s="96"/>
      <c r="AF86" s="2" t="s">
        <v>211</v>
      </c>
      <c r="AG86" s="22">
        <v>0.28000000000000003</v>
      </c>
      <c r="AH86" s="92">
        <v>0.19382115435150776</v>
      </c>
      <c r="AI86" s="22">
        <v>-0.46347054343634686</v>
      </c>
      <c r="AJ86" s="94">
        <v>1.8092279165393289E-2</v>
      </c>
      <c r="AK86" s="3"/>
      <c r="AL86" s="32"/>
    </row>
    <row r="87" spans="7:38" x14ac:dyDescent="0.4">
      <c r="G87" s="27"/>
      <c r="H87" s="37"/>
      <c r="I87" s="37"/>
      <c r="J87" s="27"/>
      <c r="K87" s="32"/>
      <c r="X87" s="96"/>
      <c r="Y87" s="2" t="s">
        <v>192</v>
      </c>
      <c r="Z87" s="22">
        <v>9.6800000345535047</v>
      </c>
      <c r="AA87" s="92">
        <v>0.67032004603563933</v>
      </c>
      <c r="AB87" s="22">
        <v>7.7517468845744144</v>
      </c>
      <c r="AC87" s="94">
        <v>1.297521116718274E-3</v>
      </c>
      <c r="AD87" s="56"/>
      <c r="AE87" s="96"/>
      <c r="AF87" s="2" t="s">
        <v>212</v>
      </c>
      <c r="AG87" s="22">
        <v>3.63</v>
      </c>
      <c r="AH87" s="92">
        <v>0.19382115435150776</v>
      </c>
      <c r="AI87" s="22">
        <v>2.5517111949732172</v>
      </c>
      <c r="AJ87" s="94">
        <v>1.2742988700107187E-3</v>
      </c>
    </row>
    <row r="88" spans="7:38" x14ac:dyDescent="0.4">
      <c r="G88" s="27"/>
      <c r="H88" s="37"/>
      <c r="I88" s="37"/>
      <c r="J88" s="27"/>
      <c r="K88" s="32"/>
      <c r="X88" s="77"/>
      <c r="Y88" s="2"/>
      <c r="Z88" s="22"/>
      <c r="AA88" s="21"/>
      <c r="AB88" s="22"/>
      <c r="AC88" s="23"/>
      <c r="AD88" s="56"/>
      <c r="AE88" s="96"/>
      <c r="AF88" s="2" t="s">
        <v>213</v>
      </c>
      <c r="AG88" s="22">
        <v>2.21</v>
      </c>
      <c r="AH88" s="92">
        <v>0.19382115435150776</v>
      </c>
      <c r="AI88" s="22">
        <v>1.3533520765399709</v>
      </c>
      <c r="AJ88" s="94">
        <v>0</v>
      </c>
    </row>
    <row r="89" spans="7:38" ht="17.100000000000001" customHeight="1" x14ac:dyDescent="0.4">
      <c r="G89" s="27"/>
      <c r="H89" s="37"/>
      <c r="I89" s="37"/>
      <c r="J89" s="27"/>
      <c r="K89" s="32"/>
      <c r="X89" s="77"/>
      <c r="Y89" s="2" t="s">
        <v>9</v>
      </c>
      <c r="Z89" s="22" t="s">
        <v>10</v>
      </c>
      <c r="AA89" s="85" t="s">
        <v>411</v>
      </c>
      <c r="AB89" s="22" t="s">
        <v>11</v>
      </c>
      <c r="AC89" s="23" t="s">
        <v>12</v>
      </c>
      <c r="AD89" s="57"/>
      <c r="AE89" s="96"/>
      <c r="AF89" s="2" t="s">
        <v>214</v>
      </c>
      <c r="AG89" s="22">
        <v>5.42</v>
      </c>
      <c r="AH89" s="92">
        <v>0.88296610682236565</v>
      </c>
      <c r="AI89" s="22">
        <v>2.9013679050846539</v>
      </c>
      <c r="AJ89" s="94">
        <v>0</v>
      </c>
      <c r="AK89" s="3"/>
      <c r="AL89" s="32"/>
    </row>
    <row r="90" spans="7:38" ht="17.100000000000001" customHeight="1" x14ac:dyDescent="0.4">
      <c r="G90" s="27"/>
      <c r="H90" s="37"/>
      <c r="I90" s="37"/>
      <c r="J90" s="27"/>
      <c r="K90" s="32"/>
      <c r="X90" s="95" t="s">
        <v>86</v>
      </c>
      <c r="Y90" s="2" t="s">
        <v>86</v>
      </c>
      <c r="Z90" s="22"/>
      <c r="AA90" s="92">
        <v>9.1360764112658394E-2</v>
      </c>
      <c r="AB90" s="22"/>
      <c r="AC90" s="94">
        <v>0.191435307264328</v>
      </c>
      <c r="AD90" s="57"/>
      <c r="AE90" s="96"/>
      <c r="AF90" s="2" t="s">
        <v>216</v>
      </c>
      <c r="AG90" s="22">
        <v>9.1010000000000009</v>
      </c>
      <c r="AH90" s="92">
        <v>0.88296610682236565</v>
      </c>
      <c r="AI90" s="22">
        <v>5.305956744577502</v>
      </c>
      <c r="AJ90" s="94">
        <v>0</v>
      </c>
      <c r="AK90" s="3"/>
      <c r="AL90" s="32"/>
    </row>
    <row r="91" spans="7:38" x14ac:dyDescent="0.4">
      <c r="X91" s="96"/>
      <c r="Y91" s="2" t="s">
        <v>197</v>
      </c>
      <c r="Z91" s="22">
        <v>3.9100000085029469</v>
      </c>
      <c r="AA91" s="92">
        <v>0.6969298779768599</v>
      </c>
      <c r="AB91" s="22">
        <v>2.4657337277191727</v>
      </c>
      <c r="AC91" s="94">
        <v>2.0455053951000192E-4</v>
      </c>
      <c r="AD91" s="57"/>
      <c r="AK91" s="3"/>
      <c r="AL91" s="32"/>
    </row>
    <row r="92" spans="7:38" x14ac:dyDescent="0.4">
      <c r="X92" s="96"/>
      <c r="Y92" s="2" t="s">
        <v>198</v>
      </c>
      <c r="Z92" s="22">
        <v>7.6300000441649392</v>
      </c>
      <c r="AA92" s="92">
        <v>2.190215629630643</v>
      </c>
      <c r="AB92" s="22">
        <v>5.1265990525519465</v>
      </c>
      <c r="AC92" s="94">
        <v>3.4253962349562413E-7</v>
      </c>
      <c r="AD92" s="57"/>
      <c r="AF92" s="8" t="s">
        <v>9</v>
      </c>
      <c r="AG92" s="8" t="s">
        <v>10</v>
      </c>
      <c r="AH92" s="80" t="s">
        <v>411</v>
      </c>
      <c r="AI92" s="8" t="s">
        <v>11</v>
      </c>
      <c r="AJ92" s="8" t="s">
        <v>12</v>
      </c>
      <c r="AK92" s="3"/>
      <c r="AL92" s="32"/>
    </row>
    <row r="93" spans="7:38" ht="17.100000000000001" customHeight="1" x14ac:dyDescent="0.4">
      <c r="G93" s="27"/>
      <c r="H93" s="37"/>
      <c r="I93" s="37"/>
      <c r="J93" s="27"/>
      <c r="K93" s="32"/>
      <c r="X93" s="96"/>
      <c r="Y93" s="2" t="s">
        <v>199</v>
      </c>
      <c r="Z93" s="22">
        <v>1.37</v>
      </c>
      <c r="AA93" s="92">
        <v>1.3217141877994476</v>
      </c>
      <c r="AB93" s="22">
        <v>-1.7270337737961494E-2</v>
      </c>
      <c r="AC93" s="94">
        <v>3.4127164339271766E-4</v>
      </c>
      <c r="AD93" s="57"/>
      <c r="AE93" s="97" t="s">
        <v>115</v>
      </c>
      <c r="AF93" s="2" t="s">
        <v>115</v>
      </c>
      <c r="AG93" s="22"/>
      <c r="AH93" s="92">
        <v>5.0678525925015767E-2</v>
      </c>
      <c r="AI93" s="22"/>
      <c r="AJ93" s="94">
        <v>7.8179836273193359E-2</v>
      </c>
      <c r="AK93" s="3"/>
      <c r="AL93" s="32"/>
    </row>
    <row r="94" spans="7:38" ht="17.100000000000001" customHeight="1" x14ac:dyDescent="0.4">
      <c r="G94" s="27"/>
      <c r="H94" s="37"/>
      <c r="I94" s="37"/>
      <c r="J94" s="27"/>
      <c r="K94" s="32"/>
      <c r="X94" s="96"/>
      <c r="Y94" s="2" t="s">
        <v>200</v>
      </c>
      <c r="Z94" s="22">
        <v>4.3499999999999996</v>
      </c>
      <c r="AA94" s="92">
        <v>1.3771277643359572</v>
      </c>
      <c r="AB94" s="22">
        <v>1.808759666738887</v>
      </c>
      <c r="AC94" s="94">
        <v>1.38673259887818E-3</v>
      </c>
      <c r="AD94" s="57"/>
      <c r="AE94" s="96"/>
      <c r="AF94" s="2" t="s">
        <v>221</v>
      </c>
      <c r="AG94" s="22">
        <v>5.7870003755989856</v>
      </c>
      <c r="AH94" s="92">
        <v>0.19382115435150776</v>
      </c>
      <c r="AI94" s="22">
        <v>4.6425862534633637</v>
      </c>
      <c r="AJ94" s="94">
        <v>1.2552374037492616E-2</v>
      </c>
      <c r="AK94" s="3"/>
      <c r="AL94" s="32"/>
    </row>
    <row r="95" spans="7:38" ht="17.100000000000001" customHeight="1" x14ac:dyDescent="0.4">
      <c r="G95" s="27"/>
      <c r="H95" s="37"/>
      <c r="I95" s="37"/>
      <c r="J95" s="27"/>
      <c r="K95" s="32"/>
      <c r="X95" s="96"/>
      <c r="Y95" s="2" t="s">
        <v>202</v>
      </c>
      <c r="Z95" s="22">
        <v>8</v>
      </c>
      <c r="AA95" s="92">
        <v>0.64334736264568271</v>
      </c>
      <c r="AB95" s="22">
        <v>6.9873976281781882</v>
      </c>
      <c r="AC95" s="94">
        <v>0</v>
      </c>
      <c r="AD95" s="57"/>
      <c r="AE95" s="96"/>
      <c r="AF95" s="2" t="s">
        <v>223</v>
      </c>
      <c r="AG95" s="22">
        <v>1.72</v>
      </c>
      <c r="AH95" s="92">
        <v>0.19382115435150776</v>
      </c>
      <c r="AI95" s="22">
        <v>0.91053028932827207</v>
      </c>
      <c r="AJ95" s="94">
        <v>1.1802487462656715E-3</v>
      </c>
      <c r="AK95" s="3"/>
      <c r="AL95" s="32"/>
    </row>
    <row r="96" spans="7:38" ht="17.100000000000001" customHeight="1" x14ac:dyDescent="0.4">
      <c r="G96" s="27"/>
      <c r="H96" s="37"/>
      <c r="I96" s="37"/>
      <c r="J96" s="27"/>
      <c r="K96" s="32"/>
      <c r="X96" s="96"/>
      <c r="Y96" s="2" t="s">
        <v>204</v>
      </c>
      <c r="Z96" s="22">
        <v>14.6</v>
      </c>
      <c r="AA96" s="92">
        <v>0.67032004603563933</v>
      </c>
      <c r="AB96" s="22">
        <v>13.404644375779862</v>
      </c>
      <c r="AC96" s="94">
        <v>0</v>
      </c>
      <c r="AD96" s="57"/>
      <c r="AE96" s="96"/>
      <c r="AF96" s="2" t="s">
        <v>225</v>
      </c>
      <c r="AG96" s="22">
        <v>7.44</v>
      </c>
      <c r="AH96" s="92">
        <v>0.88296610682236565</v>
      </c>
      <c r="AI96" s="22">
        <v>4.8358541186507651</v>
      </c>
      <c r="AJ96" s="94">
        <v>0.6027814706402379</v>
      </c>
      <c r="AK96" s="3"/>
      <c r="AL96" s="32"/>
    </row>
    <row r="97" spans="7:38" ht="17.100000000000001" customHeight="1" x14ac:dyDescent="0.4">
      <c r="G97" s="27"/>
      <c r="H97" s="37"/>
      <c r="I97" s="37"/>
      <c r="J97" s="27"/>
      <c r="K97" s="32"/>
      <c r="X97" s="96"/>
      <c r="Y97" s="2" t="s">
        <v>398</v>
      </c>
      <c r="Z97" s="22">
        <v>2.4500000000000002</v>
      </c>
      <c r="AA97" s="92">
        <v>0.64334736264568271</v>
      </c>
      <c r="AB97" s="22">
        <v>0.65900053559253124</v>
      </c>
      <c r="AC97" s="94">
        <v>2.5550890154770776E-2</v>
      </c>
      <c r="AD97" s="57"/>
      <c r="AE97" s="96"/>
      <c r="AF97" s="2" t="s">
        <v>227</v>
      </c>
      <c r="AG97" s="22">
        <v>12.39</v>
      </c>
      <c r="AH97" s="92">
        <v>0.88296610682236565</v>
      </c>
      <c r="AI97" s="22">
        <v>8.422828296379457</v>
      </c>
      <c r="AJ97" s="94">
        <v>0.26202642406424831</v>
      </c>
      <c r="AK97" s="3"/>
      <c r="AL97" s="32"/>
    </row>
    <row r="98" spans="7:38" ht="17.100000000000001" customHeight="1" x14ac:dyDescent="0.4">
      <c r="G98" s="27"/>
      <c r="H98" s="37"/>
      <c r="I98" s="37"/>
      <c r="J98" s="27"/>
      <c r="K98" s="32"/>
      <c r="X98" s="96"/>
      <c r="Y98" s="2" t="s">
        <v>206</v>
      </c>
      <c r="Z98" s="22">
        <v>1.5599999896339489</v>
      </c>
      <c r="AA98" s="92">
        <v>0.64334736264568271</v>
      </c>
      <c r="AB98" s="22">
        <v>0.55252172143197376</v>
      </c>
      <c r="AC98" s="94">
        <v>0.38653223022308575</v>
      </c>
      <c r="AD98" s="57"/>
      <c r="AE98" s="96"/>
      <c r="AF98" s="2" t="s">
        <v>229</v>
      </c>
      <c r="AG98" s="22">
        <v>3.25</v>
      </c>
      <c r="AH98" s="92">
        <v>0.88296610682236565</v>
      </c>
      <c r="AI98" s="22">
        <v>1.0655662782360773</v>
      </c>
      <c r="AJ98" s="94">
        <v>2.6609976710003945E-2</v>
      </c>
      <c r="AK98" s="3"/>
      <c r="AL98" s="32"/>
    </row>
    <row r="99" spans="7:38" ht="17.100000000000001" customHeight="1" x14ac:dyDescent="0.4">
      <c r="G99" s="27"/>
      <c r="H99" s="37"/>
      <c r="I99" s="37"/>
      <c r="J99" s="27"/>
      <c r="K99" s="32"/>
      <c r="X99" s="96"/>
      <c r="Y99" s="2" t="s">
        <v>208</v>
      </c>
      <c r="Z99" s="22">
        <v>1.8799999689018463</v>
      </c>
      <c r="AA99" s="92">
        <v>0.67032004603563933</v>
      </c>
      <c r="AB99" s="22">
        <v>0.69489255192138133</v>
      </c>
      <c r="AC99" s="94">
        <v>0.30352781422851693</v>
      </c>
      <c r="AD99" s="57"/>
      <c r="AE99" s="96"/>
      <c r="AF99" s="2" t="s">
        <v>231</v>
      </c>
      <c r="AG99" s="22">
        <v>0.28000000000000003</v>
      </c>
      <c r="AH99" s="92">
        <v>0.19382115435150776</v>
      </c>
      <c r="AI99" s="22">
        <v>-0.46236966810608282</v>
      </c>
      <c r="AJ99" s="94">
        <v>1.5253413371133735E-2</v>
      </c>
    </row>
    <row r="100" spans="7:38" x14ac:dyDescent="0.4">
      <c r="G100" s="27"/>
      <c r="H100" s="37"/>
      <c r="I100" s="37"/>
      <c r="J100" s="27"/>
      <c r="K100" s="32"/>
      <c r="X100" s="96"/>
      <c r="Y100" s="2" t="s">
        <v>210</v>
      </c>
      <c r="Z100" s="22">
        <v>1.5099999170715903</v>
      </c>
      <c r="AA100" s="92">
        <v>0.37341290832755286</v>
      </c>
      <c r="AB100" s="22">
        <v>0.4191929140639834</v>
      </c>
      <c r="AC100" s="94">
        <v>9.1020833479876856E-2</v>
      </c>
      <c r="AD100" s="56"/>
      <c r="AE100" s="96"/>
      <c r="AF100" s="2" t="s">
        <v>232</v>
      </c>
      <c r="AG100" s="22">
        <v>3.75</v>
      </c>
      <c r="AH100" s="92">
        <v>0.19382115435150776</v>
      </c>
      <c r="AI100" s="22">
        <v>2.6728120703034817</v>
      </c>
      <c r="AJ100" s="94">
        <v>1.4162667445446365E-3</v>
      </c>
    </row>
    <row r="101" spans="7:38" x14ac:dyDescent="0.4">
      <c r="G101" s="27"/>
      <c r="H101" s="37"/>
      <c r="I101" s="37"/>
      <c r="J101" s="27"/>
      <c r="K101" s="32"/>
      <c r="X101" s="77"/>
      <c r="Y101" s="2"/>
      <c r="Z101" s="22"/>
      <c r="AA101" s="21"/>
      <c r="AB101" s="22"/>
      <c r="AC101" s="23"/>
      <c r="AD101" s="56"/>
      <c r="AE101" s="96"/>
      <c r="AF101" s="2" t="s">
        <v>233</v>
      </c>
      <c r="AG101" s="22">
        <v>2.2000000000000002</v>
      </c>
      <c r="AH101" s="92">
        <v>0.19382115435150776</v>
      </c>
      <c r="AI101" s="22">
        <v>1.3444529518702355</v>
      </c>
      <c r="AJ101" s="94">
        <v>0</v>
      </c>
      <c r="AK101" s="3"/>
      <c r="AL101" s="32"/>
    </row>
    <row r="102" spans="7:38" ht="17.100000000000001" customHeight="1" x14ac:dyDescent="0.4">
      <c r="G102" s="27"/>
      <c r="H102" s="37"/>
      <c r="I102" s="37"/>
      <c r="J102" s="27"/>
      <c r="K102" s="32"/>
      <c r="X102" s="77"/>
      <c r="Y102" s="2" t="s">
        <v>9</v>
      </c>
      <c r="Z102" s="22" t="s">
        <v>10</v>
      </c>
      <c r="AA102" s="85" t="s">
        <v>411</v>
      </c>
      <c r="AB102" s="22" t="s">
        <v>11</v>
      </c>
      <c r="AC102" s="23" t="s">
        <v>12</v>
      </c>
      <c r="AD102" s="57"/>
      <c r="AE102" s="96"/>
      <c r="AF102" s="2" t="s">
        <v>235</v>
      </c>
      <c r="AG102" s="22">
        <v>5.49</v>
      </c>
      <c r="AH102" s="92">
        <v>0.88296610682236565</v>
      </c>
      <c r="AI102" s="22">
        <v>2.9724687804149186</v>
      </c>
      <c r="AJ102" s="94">
        <v>0</v>
      </c>
      <c r="AK102" s="3"/>
      <c r="AL102" s="32"/>
    </row>
    <row r="103" spans="7:38" ht="17.100000000000001" customHeight="1" x14ac:dyDescent="0.4">
      <c r="G103" s="27"/>
      <c r="H103" s="37"/>
      <c r="I103" s="37"/>
      <c r="J103" s="27"/>
      <c r="K103" s="32"/>
      <c r="X103" s="95" t="s">
        <v>90</v>
      </c>
      <c r="Y103" s="2" t="s">
        <v>90</v>
      </c>
      <c r="Z103" s="22"/>
      <c r="AA103" s="92">
        <v>2.9730401866654599E-2</v>
      </c>
      <c r="AB103" s="22"/>
      <c r="AC103" s="94">
        <v>0.26230791211128235</v>
      </c>
      <c r="AD103" s="57"/>
      <c r="AE103" s="96"/>
      <c r="AF103" s="2" t="s">
        <v>237</v>
      </c>
      <c r="AG103" s="22">
        <v>9.24</v>
      </c>
      <c r="AH103" s="92">
        <v>0.88296610682236565</v>
      </c>
      <c r="AI103" s="22">
        <v>5.4460576199077657</v>
      </c>
      <c r="AJ103" s="94">
        <v>0</v>
      </c>
      <c r="AK103" s="3"/>
      <c r="AL103" s="32"/>
    </row>
    <row r="104" spans="7:38" x14ac:dyDescent="0.4">
      <c r="X104" s="96"/>
      <c r="Y104" s="2" t="s">
        <v>215</v>
      </c>
      <c r="Z104" s="22">
        <v>6.280000091431357</v>
      </c>
      <c r="AA104" s="92">
        <v>0.6969298779768599</v>
      </c>
      <c r="AB104" s="22">
        <v>4.3481748670433422</v>
      </c>
      <c r="AC104" s="94">
        <v>2.1381152915291291E-2</v>
      </c>
      <c r="AD104" s="57"/>
      <c r="AK104" s="3"/>
      <c r="AL104" s="32"/>
    </row>
    <row r="105" spans="7:38" x14ac:dyDescent="0.4">
      <c r="X105" s="96"/>
      <c r="Y105" s="2" t="s">
        <v>217</v>
      </c>
      <c r="Z105" s="22">
        <v>10.87000016797705</v>
      </c>
      <c r="AA105" s="92">
        <v>2.190215629630643</v>
      </c>
      <c r="AB105" s="22">
        <v>7.8790402327598166</v>
      </c>
      <c r="AC105" s="94">
        <v>2.654247073322622E-4</v>
      </c>
      <c r="AD105" s="57"/>
      <c r="AF105" s="8" t="s">
        <v>9</v>
      </c>
      <c r="AG105" s="8" t="s">
        <v>10</v>
      </c>
      <c r="AH105" s="80" t="s">
        <v>411</v>
      </c>
      <c r="AI105" s="8" t="s">
        <v>11</v>
      </c>
      <c r="AJ105" s="8" t="s">
        <v>12</v>
      </c>
      <c r="AK105" s="3"/>
      <c r="AL105" s="32"/>
    </row>
    <row r="106" spans="7:38" ht="17.100000000000001" customHeight="1" x14ac:dyDescent="0.4">
      <c r="G106" s="27"/>
      <c r="H106" s="37"/>
      <c r="I106" s="37"/>
      <c r="J106" s="27"/>
      <c r="K106" s="32"/>
      <c r="X106" s="96"/>
      <c r="Y106" s="2" t="s">
        <v>218</v>
      </c>
      <c r="Z106" s="22">
        <v>2.0499999999999998</v>
      </c>
      <c r="AA106" s="92">
        <v>1.3217141877994476</v>
      </c>
      <c r="AB106" s="22">
        <v>0.17517071865779776</v>
      </c>
      <c r="AC106" s="94">
        <v>7.2833404530063561E-4</v>
      </c>
      <c r="AD106" s="57"/>
      <c r="AE106" s="97" t="s">
        <v>118</v>
      </c>
      <c r="AF106" s="2" t="s">
        <v>118</v>
      </c>
      <c r="AG106" s="22"/>
      <c r="AH106" s="92">
        <v>5.1041905208469768E-2</v>
      </c>
      <c r="AI106" s="22"/>
      <c r="AJ106" s="94">
        <v>6.5543144941329956E-2</v>
      </c>
      <c r="AK106" s="3"/>
      <c r="AL106" s="32"/>
    </row>
    <row r="107" spans="7:38" ht="17.100000000000001" customHeight="1" x14ac:dyDescent="0.4">
      <c r="G107" s="27"/>
      <c r="H107" s="37"/>
      <c r="I107" s="37"/>
      <c r="J107" s="27"/>
      <c r="K107" s="32"/>
      <c r="X107" s="96"/>
      <c r="Y107" s="2" t="s">
        <v>219</v>
      </c>
      <c r="Z107" s="22">
        <v>6.9999998963394878</v>
      </c>
      <c r="AA107" s="92">
        <v>1.3771277643359572</v>
      </c>
      <c r="AB107" s="22">
        <v>3.9712006194741352</v>
      </c>
      <c r="AC107" s="94">
        <v>0.27619958937922034</v>
      </c>
      <c r="AD107" s="57"/>
      <c r="AE107" s="96"/>
      <c r="AF107" s="2" t="s">
        <v>242</v>
      </c>
      <c r="AG107" s="22">
        <v>5.9800003795422425</v>
      </c>
      <c r="AH107" s="92">
        <v>0.19382115435150776</v>
      </c>
      <c r="AI107" s="22">
        <v>4.8386891598855994</v>
      </c>
      <c r="AJ107" s="94">
        <v>1.6529560179959886E-2</v>
      </c>
      <c r="AK107" s="3"/>
      <c r="AL107" s="32"/>
    </row>
    <row r="108" spans="7:38" ht="17.100000000000001" customHeight="1" x14ac:dyDescent="0.4">
      <c r="G108" s="27"/>
      <c r="H108" s="37"/>
      <c r="I108" s="37"/>
      <c r="J108" s="27"/>
      <c r="K108" s="32"/>
      <c r="X108" s="96"/>
      <c r="Y108" s="2" t="s">
        <v>220</v>
      </c>
      <c r="Z108" s="22">
        <v>10.29</v>
      </c>
      <c r="AA108" s="92">
        <v>0.46154164348032778</v>
      </c>
      <c r="AB108" s="22">
        <v>6.3729382428896733</v>
      </c>
      <c r="AC108" s="94">
        <v>7.8373938270782876E-3</v>
      </c>
      <c r="AD108" s="57"/>
      <c r="AE108" s="96"/>
      <c r="AF108" s="2" t="s">
        <v>244</v>
      </c>
      <c r="AG108" s="22">
        <v>1.71</v>
      </c>
      <c r="AH108" s="92">
        <v>0.19382115435150776</v>
      </c>
      <c r="AI108" s="22">
        <v>0.90363319180725055</v>
      </c>
      <c r="AJ108" s="94">
        <v>9.7388789967286257E-4</v>
      </c>
      <c r="AK108" s="3"/>
      <c r="AL108" s="32"/>
    </row>
    <row r="109" spans="7:38" x14ac:dyDescent="0.4">
      <c r="G109" s="27"/>
      <c r="H109" s="37"/>
      <c r="I109" s="37"/>
      <c r="J109" s="27"/>
      <c r="K109" s="32"/>
      <c r="X109" s="96"/>
      <c r="Y109" s="2" t="s">
        <v>222</v>
      </c>
      <c r="Z109" s="22">
        <v>9.1999999999999993</v>
      </c>
      <c r="AA109" s="92">
        <v>0.64334736264568271</v>
      </c>
      <c r="AB109" s="22">
        <v>7.6998386845739475</v>
      </c>
      <c r="AC109" s="94">
        <v>0</v>
      </c>
      <c r="AD109" s="56"/>
      <c r="AE109" s="96"/>
      <c r="AF109" s="2" t="s">
        <v>245</v>
      </c>
      <c r="AG109" s="22">
        <v>7.5</v>
      </c>
      <c r="AH109" s="92">
        <v>0.88296610682236565</v>
      </c>
      <c r="AI109" s="22">
        <v>4.8989570211297426</v>
      </c>
      <c r="AJ109" s="94">
        <v>0.58437996197515352</v>
      </c>
      <c r="AK109" s="3"/>
      <c r="AL109" s="32"/>
    </row>
    <row r="110" spans="7:38" x14ac:dyDescent="0.4">
      <c r="G110" s="27"/>
      <c r="H110" s="37"/>
      <c r="I110" s="37"/>
      <c r="J110" s="27"/>
      <c r="K110" s="32"/>
      <c r="X110" s="96"/>
      <c r="Y110" s="2" t="s">
        <v>224</v>
      </c>
      <c r="Z110" s="22">
        <v>15.9</v>
      </c>
      <c r="AA110" s="92">
        <v>0.67032004603563933</v>
      </c>
      <c r="AB110" s="22">
        <v>14.217085432175622</v>
      </c>
      <c r="AC110" s="94">
        <v>0</v>
      </c>
      <c r="AD110" s="56"/>
      <c r="AE110" s="96"/>
      <c r="AF110" s="2" t="s">
        <v>246</v>
      </c>
      <c r="AG110" s="22">
        <v>12.52</v>
      </c>
      <c r="AH110" s="92">
        <v>0.88296610682236565</v>
      </c>
      <c r="AI110" s="22">
        <v>8.5559311988584348</v>
      </c>
      <c r="AJ110" s="94">
        <v>0.2984561360170413</v>
      </c>
      <c r="AK110" s="3"/>
      <c r="AL110" s="32"/>
    </row>
    <row r="111" spans="7:38" ht="17.100000000000001" customHeight="1" x14ac:dyDescent="0.4">
      <c r="G111" s="27"/>
      <c r="H111" s="37"/>
      <c r="I111" s="37"/>
      <c r="J111" s="27"/>
      <c r="K111" s="32"/>
      <c r="X111" s="96"/>
      <c r="Y111" s="2" t="s">
        <v>399</v>
      </c>
      <c r="Z111" s="22">
        <v>2.75</v>
      </c>
      <c r="AA111" s="92">
        <v>0.64334736264568271</v>
      </c>
      <c r="AB111" s="22">
        <v>0.47144159198829083</v>
      </c>
      <c r="AC111" s="94">
        <v>2.2731936919434096E-2</v>
      </c>
      <c r="AD111" s="57"/>
      <c r="AE111" s="96"/>
      <c r="AF111" s="2" t="s">
        <v>248</v>
      </c>
      <c r="AG111" s="22">
        <v>3.2</v>
      </c>
      <c r="AH111" s="92">
        <v>0.88296610682236565</v>
      </c>
      <c r="AI111" s="22">
        <v>1.0186691807150559</v>
      </c>
      <c r="AJ111" s="94">
        <v>2.0025340832338617E-2</v>
      </c>
      <c r="AK111" s="3"/>
      <c r="AL111" s="32"/>
    </row>
    <row r="112" spans="7:38" ht="17.100000000000001" customHeight="1" x14ac:dyDescent="0.4">
      <c r="G112" s="27"/>
      <c r="H112" s="37"/>
      <c r="I112" s="37"/>
      <c r="J112" s="27"/>
      <c r="K112" s="32"/>
      <c r="X112" s="96"/>
      <c r="Y112" s="2" t="s">
        <v>404</v>
      </c>
      <c r="Z112" s="22">
        <v>4.51</v>
      </c>
      <c r="AA112" s="92">
        <v>0.67032004603563933</v>
      </c>
      <c r="AB112" s="22">
        <v>1.2702912470043075</v>
      </c>
      <c r="AC112" s="94">
        <v>4.1866779666284498E-3</v>
      </c>
      <c r="AD112" s="57"/>
      <c r="AE112" s="96"/>
      <c r="AF112" s="2" t="s">
        <v>249</v>
      </c>
      <c r="AG112" s="22">
        <v>0.27</v>
      </c>
      <c r="AH112" s="92">
        <v>0.19382115435150776</v>
      </c>
      <c r="AI112" s="22">
        <v>-0.46926676562710423</v>
      </c>
      <c r="AJ112" s="94">
        <v>1.2586427020454162E-2</v>
      </c>
    </row>
    <row r="113" spans="7:38" ht="17.100000000000001" customHeight="1" x14ac:dyDescent="0.4">
      <c r="G113" s="27"/>
      <c r="H113" s="37"/>
      <c r="I113" s="37"/>
      <c r="J113" s="27"/>
      <c r="K113" s="32"/>
      <c r="X113" s="96"/>
      <c r="Y113" s="2" t="s">
        <v>226</v>
      </c>
      <c r="Z113" s="22">
        <v>1.4799998479645819</v>
      </c>
      <c r="AA113" s="92">
        <v>0.58391289554382253</v>
      </c>
      <c r="AB113" s="22">
        <v>2.706009447652602E-2</v>
      </c>
      <c r="AC113" s="94">
        <v>0.15794774739761708</v>
      </c>
      <c r="AD113" s="57"/>
      <c r="AE113" s="96"/>
      <c r="AF113" s="2" t="s">
        <v>250</v>
      </c>
      <c r="AG113" s="22">
        <v>3.85</v>
      </c>
      <c r="AH113" s="92">
        <v>0.19382115435150776</v>
      </c>
      <c r="AI113" s="22">
        <v>2.7759149727824601</v>
      </c>
      <c r="AJ113" s="94">
        <v>1.5054990287303011E-3</v>
      </c>
    </row>
    <row r="114" spans="7:38" ht="17.100000000000001" customHeight="1" x14ac:dyDescent="0.4">
      <c r="G114" s="27"/>
      <c r="H114" s="37"/>
      <c r="I114" s="37"/>
      <c r="J114" s="27"/>
      <c r="K114" s="32"/>
      <c r="X114" s="96"/>
      <c r="Y114" s="2" t="s">
        <v>228</v>
      </c>
      <c r="Z114" s="22">
        <v>2.0299999999999998</v>
      </c>
      <c r="AA114" s="92">
        <v>0.75070863388104503</v>
      </c>
      <c r="AB114" s="22">
        <v>0.30814443594901397</v>
      </c>
      <c r="AC114" s="94">
        <v>0.1707024401956701</v>
      </c>
      <c r="AD114" s="57"/>
      <c r="AE114" s="96"/>
      <c r="AF114" s="2" t="s">
        <v>251</v>
      </c>
      <c r="AG114" s="22">
        <v>2.19</v>
      </c>
      <c r="AH114" s="92">
        <v>0.19382115435150776</v>
      </c>
      <c r="AI114" s="22">
        <v>1.3375558543492136</v>
      </c>
      <c r="AJ114" s="94">
        <v>0</v>
      </c>
      <c r="AK114" s="3"/>
      <c r="AL114" s="32"/>
    </row>
    <row r="115" spans="7:38" ht="17.100000000000001" customHeight="1" x14ac:dyDescent="0.4">
      <c r="G115" s="27"/>
      <c r="H115" s="37"/>
      <c r="I115" s="37"/>
      <c r="J115" s="27"/>
      <c r="K115" s="32"/>
      <c r="X115" s="96"/>
      <c r="Y115" s="2" t="s">
        <v>230</v>
      </c>
      <c r="Z115" s="22">
        <v>1.86</v>
      </c>
      <c r="AA115" s="92">
        <v>0.4481254762096703</v>
      </c>
      <c r="AB115" s="22">
        <v>0.20242374564949106</v>
      </c>
      <c r="AC115" s="94">
        <v>7.5711350075079772E-2</v>
      </c>
      <c r="AD115" s="57"/>
      <c r="AE115" s="96"/>
      <c r="AF115" s="2" t="s">
        <v>252</v>
      </c>
      <c r="AG115" s="22">
        <v>5.54</v>
      </c>
      <c r="AH115" s="92">
        <v>0.88296610682236565</v>
      </c>
      <c r="AI115" s="22">
        <v>3.0255716828938968</v>
      </c>
      <c r="AJ115" s="94">
        <v>0</v>
      </c>
      <c r="AK115" s="3"/>
      <c r="AL115" s="32"/>
    </row>
    <row r="116" spans="7:38" x14ac:dyDescent="0.4">
      <c r="G116" s="27"/>
      <c r="H116" s="37"/>
      <c r="I116" s="37"/>
      <c r="J116" s="27"/>
      <c r="K116" s="32"/>
      <c r="X116" s="77"/>
      <c r="Y116" s="2"/>
      <c r="Z116" s="22"/>
      <c r="AA116" s="21"/>
      <c r="AB116" s="22"/>
      <c r="AC116" s="23"/>
      <c r="AD116" s="56"/>
      <c r="AE116" s="96"/>
      <c r="AF116" s="2" t="s">
        <v>253</v>
      </c>
      <c r="AG116" s="22">
        <v>9.3699999999999992</v>
      </c>
      <c r="AH116" s="92">
        <v>0.88296610682236565</v>
      </c>
      <c r="AI116" s="22">
        <v>5.5791605223867426</v>
      </c>
      <c r="AJ116" s="94">
        <v>0</v>
      </c>
      <c r="AK116" s="3"/>
      <c r="AL116" s="32"/>
    </row>
    <row r="117" spans="7:38" x14ac:dyDescent="0.4">
      <c r="Y117" s="8" t="s">
        <v>9</v>
      </c>
      <c r="Z117" s="8" t="s">
        <v>10</v>
      </c>
      <c r="AA117" s="80" t="s">
        <v>411</v>
      </c>
      <c r="AB117" s="8" t="s">
        <v>11</v>
      </c>
      <c r="AC117" s="8" t="s">
        <v>12</v>
      </c>
      <c r="AD117" s="56"/>
      <c r="AK117" s="3"/>
      <c r="AL117" s="32"/>
    </row>
    <row r="118" spans="7:38" x14ac:dyDescent="0.4">
      <c r="X118" s="95" t="s">
        <v>234</v>
      </c>
      <c r="Y118" s="2" t="s">
        <v>234</v>
      </c>
      <c r="Z118" s="22"/>
      <c r="AA118" s="92">
        <v>0.19473959010608025</v>
      </c>
      <c r="AB118" s="22"/>
      <c r="AC118" s="94">
        <v>4.5573184711666243E-15</v>
      </c>
      <c r="AD118" s="56"/>
      <c r="AF118" s="8" t="s">
        <v>9</v>
      </c>
      <c r="AG118" s="8" t="s">
        <v>10</v>
      </c>
      <c r="AH118" s="80" t="s">
        <v>411</v>
      </c>
      <c r="AI118" s="8" t="s">
        <v>11</v>
      </c>
      <c r="AJ118" s="8" t="s">
        <v>12</v>
      </c>
      <c r="AK118" s="3"/>
      <c r="AL118" s="32"/>
    </row>
    <row r="119" spans="7:38" x14ac:dyDescent="0.4">
      <c r="G119" s="27"/>
      <c r="H119" s="37"/>
      <c r="I119" s="37"/>
      <c r="J119" s="27"/>
      <c r="K119" s="32"/>
      <c r="X119" s="96"/>
      <c r="Y119" s="2" t="s">
        <v>236</v>
      </c>
      <c r="Z119" s="22">
        <v>21.4</v>
      </c>
      <c r="AA119" s="92">
        <v>0.64334736264568271</v>
      </c>
      <c r="AB119" s="22">
        <v>20.716092156513724</v>
      </c>
      <c r="AC119" s="94">
        <v>0</v>
      </c>
      <c r="AD119" s="56"/>
      <c r="AE119" s="97" t="s">
        <v>121</v>
      </c>
      <c r="AF119" s="2" t="s">
        <v>121</v>
      </c>
      <c r="AG119" s="22"/>
      <c r="AH119" s="92">
        <v>5.1285731787396045E-2</v>
      </c>
      <c r="AI119" s="22"/>
      <c r="AJ119" s="94">
        <v>5.548868328332901E-2</v>
      </c>
      <c r="AK119" s="3"/>
      <c r="AL119" s="32"/>
    </row>
    <row r="120" spans="7:38" x14ac:dyDescent="0.4">
      <c r="G120" s="27"/>
      <c r="H120" s="37"/>
      <c r="I120" s="37"/>
      <c r="J120" s="27"/>
      <c r="K120" s="32"/>
      <c r="X120" s="96"/>
      <c r="Y120" s="2" t="s">
        <v>238</v>
      </c>
      <c r="Z120" s="22">
        <v>26.6</v>
      </c>
      <c r="AA120" s="92">
        <v>0.67032004603563933</v>
      </c>
      <c r="AB120" s="22">
        <v>25.733338904115399</v>
      </c>
      <c r="AC120" s="94">
        <v>0</v>
      </c>
      <c r="AD120" s="56"/>
      <c r="AE120" s="96"/>
      <c r="AF120" s="2" t="s">
        <v>254</v>
      </c>
      <c r="AG120" s="22">
        <v>6.040000379622378</v>
      </c>
      <c r="AH120" s="92">
        <v>0.19382115435150776</v>
      </c>
      <c r="AI120" s="22">
        <v>4.9007588400890905</v>
      </c>
      <c r="AJ120" s="94">
        <v>1.6143887457618727E-2</v>
      </c>
      <c r="AK120" s="3"/>
      <c r="AL120" s="32"/>
    </row>
    <row r="121" spans="7:38" x14ac:dyDescent="0.4">
      <c r="G121" s="27"/>
      <c r="H121" s="37"/>
      <c r="I121" s="37"/>
      <c r="J121" s="27"/>
      <c r="K121" s="32"/>
      <c r="X121" s="96"/>
      <c r="Y121" s="2" t="s">
        <v>239</v>
      </c>
      <c r="Z121" s="22">
        <v>7.2</v>
      </c>
      <c r="AA121" s="92">
        <v>0.64334736264568271</v>
      </c>
      <c r="AB121" s="22">
        <v>6.5212162601335617</v>
      </c>
      <c r="AC121" s="94">
        <v>8.5618495138594583E-9</v>
      </c>
      <c r="AD121" s="56"/>
      <c r="AE121" s="96"/>
      <c r="AF121" s="2" t="s">
        <v>255</v>
      </c>
      <c r="AG121" s="22">
        <v>1.72</v>
      </c>
      <c r="AH121" s="92">
        <v>0.19382115435150776</v>
      </c>
      <c r="AI121" s="22">
        <v>0.91570287193060595</v>
      </c>
      <c r="AJ121" s="94">
        <v>8.4772656577829719E-4</v>
      </c>
    </row>
    <row r="122" spans="7:38" x14ac:dyDescent="0.4">
      <c r="G122" s="27"/>
      <c r="H122" s="37"/>
      <c r="I122" s="37"/>
      <c r="J122" s="27"/>
      <c r="K122" s="32"/>
      <c r="X122" s="96"/>
      <c r="Y122" s="2" t="s">
        <v>240</v>
      </c>
      <c r="Z122" s="22">
        <v>14</v>
      </c>
      <c r="AA122" s="92">
        <v>0.67032004603563933</v>
      </c>
      <c r="AB122" s="22">
        <v>13.143587111355073</v>
      </c>
      <c r="AC122" s="94">
        <v>2.0303943343915283E-2</v>
      </c>
      <c r="AD122" s="56"/>
      <c r="AE122" s="96"/>
      <c r="AF122" s="2" t="s">
        <v>256</v>
      </c>
      <c r="AG122" s="22">
        <v>7.55</v>
      </c>
      <c r="AH122" s="92">
        <v>0.88296610682236565</v>
      </c>
      <c r="AI122" s="22">
        <v>4.951026701253098</v>
      </c>
      <c r="AJ122" s="94">
        <v>0.55775328794193924</v>
      </c>
    </row>
    <row r="123" spans="7:38" x14ac:dyDescent="0.4">
      <c r="G123" s="27"/>
      <c r="H123" s="37"/>
      <c r="I123" s="37"/>
      <c r="J123" s="27"/>
      <c r="K123" s="32"/>
      <c r="X123" s="96"/>
      <c r="Y123" s="2" t="s">
        <v>241</v>
      </c>
      <c r="Z123" s="22">
        <v>15.1</v>
      </c>
      <c r="AA123" s="92">
        <v>0.37341290832755286</v>
      </c>
      <c r="AB123" s="22">
        <v>14.337887525327929</v>
      </c>
      <c r="AC123" s="94">
        <v>0.17968952402570409</v>
      </c>
      <c r="AD123" s="56"/>
      <c r="AE123" s="96"/>
      <c r="AF123" s="2" t="s">
        <v>257</v>
      </c>
      <c r="AG123" s="22">
        <v>12.65</v>
      </c>
      <c r="AH123" s="92">
        <v>0.88296610682236565</v>
      </c>
      <c r="AI123" s="22">
        <v>8.6880008789817911</v>
      </c>
      <c r="AJ123" s="94">
        <v>0.34247378638660536</v>
      </c>
      <c r="AK123" s="3"/>
      <c r="AL123" s="32"/>
    </row>
    <row r="124" spans="7:38" x14ac:dyDescent="0.4">
      <c r="G124" s="27"/>
      <c r="H124" s="37"/>
      <c r="I124" s="37"/>
      <c r="J124" s="27"/>
      <c r="K124" s="32"/>
      <c r="X124" s="96"/>
      <c r="Y124" s="2" t="s">
        <v>243</v>
      </c>
      <c r="Z124" s="22">
        <v>15.4</v>
      </c>
      <c r="AA124" s="92">
        <v>6.5534209250335457E-2</v>
      </c>
      <c r="AB124" s="22">
        <v>15.233816322125213</v>
      </c>
      <c r="AC124" s="94">
        <v>0.80000648323890611</v>
      </c>
      <c r="AD124" s="56"/>
      <c r="AE124" s="96"/>
      <c r="AF124" s="2" t="s">
        <v>258</v>
      </c>
      <c r="AG124" s="22">
        <v>3.15</v>
      </c>
      <c r="AH124" s="92">
        <v>0.88296610682236565</v>
      </c>
      <c r="AI124" s="22">
        <v>0.97073886083841154</v>
      </c>
      <c r="AJ124" s="94">
        <v>1.5181921440567594E-2</v>
      </c>
      <c r="AK124" s="3"/>
      <c r="AL124" s="32"/>
    </row>
    <row r="125" spans="7:38" x14ac:dyDescent="0.4">
      <c r="G125" s="27"/>
      <c r="H125" s="37"/>
      <c r="I125" s="37"/>
      <c r="J125" s="27"/>
      <c r="K125" s="32"/>
      <c r="X125" s="77"/>
      <c r="Y125" s="2"/>
      <c r="Z125" s="22"/>
      <c r="AA125" s="21"/>
      <c r="AB125" s="22"/>
      <c r="AC125" s="23"/>
      <c r="AD125" s="56"/>
      <c r="AE125" s="96"/>
      <c r="AF125" s="2" t="s">
        <v>259</v>
      </c>
      <c r="AG125" s="22">
        <v>0.27</v>
      </c>
      <c r="AH125" s="92">
        <v>0.19382115435150776</v>
      </c>
      <c r="AI125" s="22">
        <v>-0.46719708550374883</v>
      </c>
      <c r="AJ125" s="94">
        <v>1.0706543486076487E-2</v>
      </c>
      <c r="AK125" s="3"/>
      <c r="AL125" s="32"/>
    </row>
    <row r="126" spans="7:38" x14ac:dyDescent="0.4">
      <c r="G126" s="27"/>
      <c r="H126" s="37"/>
      <c r="I126" s="37"/>
      <c r="J126" s="27"/>
      <c r="K126" s="32"/>
      <c r="X126" s="77"/>
      <c r="Y126" s="2" t="s">
        <v>9</v>
      </c>
      <c r="Z126" s="22" t="s">
        <v>10</v>
      </c>
      <c r="AA126" s="85" t="s">
        <v>411</v>
      </c>
      <c r="AB126" s="22" t="s">
        <v>11</v>
      </c>
      <c r="AC126" s="23" t="s">
        <v>12</v>
      </c>
      <c r="AD126" s="56"/>
      <c r="AE126" s="96"/>
      <c r="AF126" s="2" t="s">
        <v>260</v>
      </c>
      <c r="AG126" s="22">
        <v>3.89</v>
      </c>
      <c r="AH126" s="92">
        <v>0.19382115435150776</v>
      </c>
      <c r="AI126" s="22">
        <v>2.8179846529058152</v>
      </c>
      <c r="AJ126" s="94">
        <v>1.4041946141717229E-3</v>
      </c>
      <c r="AK126" s="3"/>
      <c r="AL126" s="32"/>
    </row>
    <row r="127" spans="7:38" x14ac:dyDescent="0.4">
      <c r="G127" s="27"/>
      <c r="H127" s="37"/>
      <c r="I127" s="37"/>
      <c r="J127" s="27"/>
      <c r="K127" s="32"/>
      <c r="X127" s="95" t="s">
        <v>247</v>
      </c>
      <c r="Y127" s="2" t="s">
        <v>73</v>
      </c>
      <c r="Z127" s="22"/>
      <c r="AA127" s="92">
        <v>0.6305419559420764</v>
      </c>
      <c r="AB127" s="22"/>
      <c r="AC127" s="94">
        <v>1.5659990822314285E-5</v>
      </c>
      <c r="AD127" s="56"/>
      <c r="AE127" s="96"/>
      <c r="AF127" s="2" t="s">
        <v>261</v>
      </c>
      <c r="AG127" s="22">
        <v>2.2000000000000002</v>
      </c>
      <c r="AH127" s="92">
        <v>0.19382115435150776</v>
      </c>
      <c r="AI127" s="22">
        <v>1.3496255344725694</v>
      </c>
      <c r="AJ127" s="94">
        <v>0</v>
      </c>
      <c r="AK127" s="3"/>
      <c r="AL127" s="32"/>
    </row>
    <row r="128" spans="7:38" x14ac:dyDescent="0.4">
      <c r="G128" s="27"/>
      <c r="H128" s="37"/>
      <c r="I128" s="37"/>
      <c r="J128" s="27"/>
      <c r="K128" s="32"/>
      <c r="X128" s="96"/>
      <c r="Y128" s="2" t="s">
        <v>141</v>
      </c>
      <c r="Z128" s="22">
        <v>11.8</v>
      </c>
      <c r="AA128" s="92">
        <v>9.5000000000000001E-2</v>
      </c>
      <c r="AB128" s="22">
        <v>12.457073814216027</v>
      </c>
      <c r="AC128" s="94">
        <v>0</v>
      </c>
      <c r="AD128" s="56"/>
      <c r="AE128" s="96"/>
      <c r="AF128" s="2" t="s">
        <v>262</v>
      </c>
      <c r="AG128" s="22">
        <v>5.6</v>
      </c>
      <c r="AH128" s="92">
        <v>0.88296610682236565</v>
      </c>
      <c r="AI128" s="22">
        <v>3.0876413630172519</v>
      </c>
      <c r="AJ128" s="94">
        <v>0</v>
      </c>
    </row>
    <row r="129" spans="7:36" x14ac:dyDescent="0.4">
      <c r="G129" s="27"/>
      <c r="H129" s="37"/>
      <c r="I129" s="37"/>
      <c r="J129" s="27"/>
      <c r="K129" s="32"/>
      <c r="X129" s="96"/>
      <c r="Y129" s="2" t="s">
        <v>143</v>
      </c>
      <c r="Z129" s="22">
        <v>17.600000000000001</v>
      </c>
      <c r="AA129" s="92">
        <v>0.69216165075282776</v>
      </c>
      <c r="AB129" s="22">
        <v>17.229673315885037</v>
      </c>
      <c r="AC129" s="94">
        <v>0</v>
      </c>
      <c r="AD129" s="56"/>
      <c r="AE129" s="96"/>
      <c r="AF129" s="2" t="s">
        <v>263</v>
      </c>
      <c r="AG129" s="22">
        <v>9.49</v>
      </c>
      <c r="AH129" s="92">
        <v>0.88296610682236565</v>
      </c>
      <c r="AI129" s="22">
        <v>5.7012302025101</v>
      </c>
      <c r="AJ129" s="94">
        <v>0</v>
      </c>
    </row>
    <row r="130" spans="7:36" x14ac:dyDescent="0.4">
      <c r="X130" s="96"/>
      <c r="Y130" s="2" t="s">
        <v>395</v>
      </c>
      <c r="Z130" s="22">
        <v>3.1</v>
      </c>
      <c r="AA130" s="92">
        <v>9.5000000000000001E-2</v>
      </c>
      <c r="AB130" s="22">
        <v>3.7621979178358624</v>
      </c>
      <c r="AC130" s="94">
        <v>5.1242625385432283E-2</v>
      </c>
      <c r="AD130" s="56"/>
    </row>
    <row r="131" spans="7:36" x14ac:dyDescent="0.4">
      <c r="X131" s="96"/>
      <c r="Y131" s="2" t="s">
        <v>405</v>
      </c>
      <c r="Z131" s="22">
        <v>5.42</v>
      </c>
      <c r="AA131" s="92">
        <v>0.59594346527578612</v>
      </c>
      <c r="AB131" s="22">
        <v>5.1249239946948011</v>
      </c>
      <c r="AC131" s="94">
        <v>0.66834299536870023</v>
      </c>
      <c r="AD131" s="56"/>
      <c r="AF131" s="8" t="s">
        <v>9</v>
      </c>
      <c r="AG131" s="8" t="s">
        <v>10</v>
      </c>
      <c r="AH131" s="80" t="s">
        <v>411</v>
      </c>
      <c r="AI131" s="8" t="s">
        <v>11</v>
      </c>
      <c r="AJ131" s="8" t="s">
        <v>12</v>
      </c>
    </row>
    <row r="132" spans="7:36" x14ac:dyDescent="0.4">
      <c r="G132" s="27"/>
      <c r="H132" s="37"/>
      <c r="I132" s="37"/>
      <c r="J132" s="27"/>
      <c r="K132" s="32"/>
      <c r="X132" s="96"/>
      <c r="Y132" s="2" t="s">
        <v>416</v>
      </c>
      <c r="Z132" s="22">
        <v>4.75</v>
      </c>
      <c r="AA132" s="92">
        <v>0.11892630699601257</v>
      </c>
      <c r="AB132" s="22">
        <v>4.9950586571641642</v>
      </c>
      <c r="AC132" s="94">
        <v>0.28039871216687529</v>
      </c>
      <c r="AD132" s="56"/>
      <c r="AE132" s="97" t="s">
        <v>123</v>
      </c>
      <c r="AF132" s="2" t="s">
        <v>123</v>
      </c>
      <c r="AG132" s="22"/>
      <c r="AH132" s="92">
        <v>5.1623763155781731E-2</v>
      </c>
      <c r="AI132" s="22"/>
      <c r="AJ132" s="94">
        <v>4.7301024198532104E-2</v>
      </c>
    </row>
    <row r="133" spans="7:36" x14ac:dyDescent="0.4">
      <c r="G133" s="27"/>
      <c r="H133" s="37"/>
      <c r="I133" s="37"/>
      <c r="J133" s="27"/>
      <c r="K133" s="32"/>
      <c r="X133" s="77"/>
      <c r="Y133" s="2"/>
      <c r="Z133" s="22"/>
      <c r="AA133" s="21"/>
      <c r="AB133" s="22"/>
      <c r="AC133" s="23"/>
      <c r="AD133" s="56"/>
      <c r="AE133" s="96"/>
      <c r="AF133" s="2" t="s">
        <v>264</v>
      </c>
      <c r="AG133" s="22">
        <v>6.1000003797931805</v>
      </c>
      <c r="AH133" s="92">
        <v>0.19382115435150776</v>
      </c>
      <c r="AI133" s="22">
        <v>4.9636119430969341</v>
      </c>
      <c r="AJ133" s="94">
        <v>1.590476840285791E-2</v>
      </c>
    </row>
    <row r="134" spans="7:36" x14ac:dyDescent="0.4">
      <c r="G134" s="27"/>
      <c r="H134" s="37"/>
      <c r="I134" s="37"/>
      <c r="J134" s="27"/>
      <c r="K134" s="32"/>
      <c r="X134" s="77"/>
      <c r="Y134" s="2"/>
      <c r="Z134" s="22"/>
      <c r="AA134" s="21"/>
      <c r="AB134" s="22"/>
      <c r="AC134" s="23"/>
      <c r="AD134" s="56"/>
      <c r="AE134" s="96"/>
      <c r="AF134" s="2" t="s">
        <v>265</v>
      </c>
      <c r="AG134" s="22">
        <v>1.73</v>
      </c>
      <c r="AH134" s="92">
        <v>0.19382115435150776</v>
      </c>
      <c r="AI134" s="22">
        <v>0.92855597476764784</v>
      </c>
      <c r="AJ134" s="94">
        <v>7.4434627811070418E-4</v>
      </c>
    </row>
    <row r="135" spans="7:36" x14ac:dyDescent="0.4">
      <c r="G135" s="27"/>
      <c r="H135" s="37"/>
      <c r="I135" s="37"/>
      <c r="J135" s="27"/>
      <c r="K135" s="32"/>
      <c r="X135" s="77"/>
      <c r="Y135" s="2"/>
      <c r="Z135" s="22"/>
      <c r="AA135" s="21"/>
      <c r="AB135" s="22"/>
      <c r="AC135" s="23"/>
      <c r="AD135" s="56"/>
      <c r="AE135" s="96"/>
      <c r="AF135" s="2" t="s">
        <v>266</v>
      </c>
      <c r="AG135" s="22">
        <v>7.59</v>
      </c>
      <c r="AH135" s="92">
        <v>0.88296610682236565</v>
      </c>
      <c r="AI135" s="22">
        <v>4.99387980409014</v>
      </c>
      <c r="AJ135" s="94">
        <v>0.52476077781403629</v>
      </c>
    </row>
    <row r="136" spans="7:36" x14ac:dyDescent="0.4">
      <c r="G136" s="27"/>
      <c r="H136" s="37"/>
      <c r="I136" s="37"/>
      <c r="J136" s="27"/>
      <c r="K136" s="32"/>
      <c r="X136" s="77"/>
      <c r="Y136" s="2"/>
      <c r="Z136" s="22"/>
      <c r="AA136" s="21"/>
      <c r="AB136" s="22"/>
      <c r="AC136" s="23"/>
      <c r="AD136" s="56"/>
      <c r="AE136" s="96"/>
      <c r="AF136" s="2" t="s">
        <v>267</v>
      </c>
      <c r="AG136" s="22">
        <v>12.77</v>
      </c>
      <c r="AH136" s="92">
        <v>0.88296610682236565</v>
      </c>
      <c r="AI136" s="22">
        <v>8.8108539818188323</v>
      </c>
      <c r="AJ136" s="94">
        <v>0.38738835658779591</v>
      </c>
    </row>
    <row r="137" spans="7:36" x14ac:dyDescent="0.4">
      <c r="G137" s="27"/>
      <c r="H137" s="37"/>
      <c r="I137" s="37"/>
      <c r="J137" s="27"/>
      <c r="K137" s="32"/>
      <c r="X137" s="77"/>
      <c r="Y137" s="2"/>
      <c r="Z137" s="22"/>
      <c r="AA137" s="21"/>
      <c r="AB137" s="22"/>
      <c r="AC137" s="23"/>
      <c r="AD137" s="56"/>
      <c r="AE137" s="96"/>
      <c r="AF137" s="2" t="s">
        <v>268</v>
      </c>
      <c r="AG137" s="22">
        <v>3.16</v>
      </c>
      <c r="AH137" s="92">
        <v>0.88296610682236565</v>
      </c>
      <c r="AI137" s="22">
        <v>0.98359196367545332</v>
      </c>
      <c r="AJ137" s="94">
        <v>1.3330485530414519E-2</v>
      </c>
    </row>
    <row r="138" spans="7:36" x14ac:dyDescent="0.4">
      <c r="G138" s="27"/>
      <c r="H138" s="37"/>
      <c r="I138" s="37"/>
      <c r="J138" s="27"/>
      <c r="K138" s="32"/>
      <c r="X138" s="77"/>
      <c r="Y138" s="2"/>
      <c r="Z138" s="22"/>
      <c r="AA138" s="21"/>
      <c r="AB138" s="22"/>
      <c r="AC138" s="23"/>
      <c r="AD138" s="56"/>
      <c r="AE138" s="96"/>
      <c r="AF138" s="2" t="s">
        <v>269</v>
      </c>
      <c r="AG138" s="22">
        <v>0.27</v>
      </c>
      <c r="AH138" s="92">
        <v>0.19382115435150776</v>
      </c>
      <c r="AI138" s="22">
        <v>-0.46434398266670707</v>
      </c>
      <c r="AJ138" s="94">
        <v>9.1868899351915164E-3</v>
      </c>
    </row>
    <row r="139" spans="7:36" x14ac:dyDescent="0.4">
      <c r="G139" s="27"/>
      <c r="H139" s="37"/>
      <c r="I139" s="37"/>
      <c r="J139" s="27"/>
      <c r="K139" s="32"/>
      <c r="X139" s="77"/>
      <c r="Y139" s="2"/>
      <c r="Z139" s="22"/>
      <c r="AA139" s="21"/>
      <c r="AB139" s="22"/>
      <c r="AC139" s="23"/>
      <c r="AD139" s="56"/>
      <c r="AE139" s="96"/>
      <c r="AF139" s="2" t="s">
        <v>270</v>
      </c>
      <c r="AG139" s="22">
        <v>3.95</v>
      </c>
      <c r="AH139" s="92">
        <v>0.19382115435150776</v>
      </c>
      <c r="AI139" s="22">
        <v>2.8808377557428573</v>
      </c>
      <c r="AJ139" s="94">
        <v>1.3833960488629745E-3</v>
      </c>
    </row>
    <row r="140" spans="7:36" x14ac:dyDescent="0.4">
      <c r="G140" s="27"/>
      <c r="H140" s="37"/>
      <c r="I140" s="37"/>
      <c r="J140" s="27"/>
      <c r="K140" s="32"/>
      <c r="X140" s="77"/>
      <c r="Y140" s="2"/>
      <c r="Z140" s="22"/>
      <c r="AA140" s="21"/>
      <c r="AB140" s="22"/>
      <c r="AC140" s="23"/>
      <c r="AD140" s="56"/>
      <c r="AE140" s="96"/>
      <c r="AF140" s="2" t="s">
        <v>271</v>
      </c>
      <c r="AG140" s="22">
        <v>2.21</v>
      </c>
      <c r="AH140" s="92">
        <v>0.19382115435150776</v>
      </c>
      <c r="AI140" s="22">
        <v>1.3624786373096109</v>
      </c>
      <c r="AJ140" s="94">
        <v>0</v>
      </c>
    </row>
    <row r="141" spans="7:36" x14ac:dyDescent="0.4">
      <c r="G141" s="27"/>
      <c r="H141" s="37"/>
      <c r="I141" s="37"/>
      <c r="J141" s="27"/>
      <c r="K141" s="32"/>
      <c r="X141" s="77"/>
      <c r="Y141" s="2"/>
      <c r="Z141" s="22"/>
      <c r="AA141" s="21"/>
      <c r="AB141" s="22"/>
      <c r="AC141" s="23"/>
      <c r="AD141" s="56"/>
      <c r="AE141" s="96"/>
      <c r="AF141" s="2" t="s">
        <v>272</v>
      </c>
      <c r="AG141" s="22">
        <v>5.64</v>
      </c>
      <c r="AH141" s="92">
        <v>0.88296610682236565</v>
      </c>
      <c r="AI141" s="22">
        <v>3.1304944658542935</v>
      </c>
      <c r="AJ141" s="94">
        <v>0</v>
      </c>
    </row>
    <row r="142" spans="7:36" x14ac:dyDescent="0.4">
      <c r="G142" s="27"/>
      <c r="H142" s="37"/>
      <c r="I142" s="37"/>
      <c r="J142" s="27"/>
      <c r="K142" s="32"/>
      <c r="X142" s="77"/>
      <c r="Y142" s="2"/>
      <c r="Z142" s="22"/>
      <c r="AA142" s="21"/>
      <c r="AB142" s="22"/>
      <c r="AC142" s="23"/>
      <c r="AD142" s="56"/>
      <c r="AE142" s="96"/>
      <c r="AF142" s="2" t="s">
        <v>273</v>
      </c>
      <c r="AG142" s="22">
        <v>9.6199999999999992</v>
      </c>
      <c r="AH142" s="92">
        <v>0.88296610682236565</v>
      </c>
      <c r="AI142" s="22">
        <v>5.8340833053471401</v>
      </c>
      <c r="AJ142" s="94">
        <v>0</v>
      </c>
    </row>
    <row r="143" spans="7:36" x14ac:dyDescent="0.4">
      <c r="AD143" s="56"/>
    </row>
    <row r="144" spans="7:36" x14ac:dyDescent="0.4">
      <c r="AD144" s="56"/>
      <c r="AF144" s="8" t="s">
        <v>9</v>
      </c>
      <c r="AG144" s="8" t="s">
        <v>10</v>
      </c>
      <c r="AH144" s="80" t="s">
        <v>411</v>
      </c>
      <c r="AI144" s="8" t="s">
        <v>11</v>
      </c>
      <c r="AJ144" s="8" t="s">
        <v>12</v>
      </c>
    </row>
    <row r="145" spans="7:36" x14ac:dyDescent="0.4">
      <c r="G145" s="27"/>
      <c r="H145" s="37"/>
      <c r="I145" s="37"/>
      <c r="J145" s="27"/>
      <c r="K145" s="32"/>
      <c r="X145" s="77"/>
      <c r="Y145" s="2"/>
      <c r="Z145" s="22"/>
      <c r="AA145" s="21"/>
      <c r="AB145" s="22"/>
      <c r="AC145" s="23"/>
      <c r="AD145" s="56"/>
      <c r="AE145" s="97" t="s">
        <v>125</v>
      </c>
      <c r="AF145" s="2" t="s">
        <v>125</v>
      </c>
      <c r="AG145" s="22"/>
      <c r="AH145" s="92">
        <v>5.1313363066629945E-2</v>
      </c>
      <c r="AI145" s="22"/>
      <c r="AJ145" s="94">
        <v>4.0861994028091431E-2</v>
      </c>
    </row>
    <row r="146" spans="7:36" x14ac:dyDescent="0.4">
      <c r="G146" s="27"/>
      <c r="H146" s="37"/>
      <c r="I146" s="37"/>
      <c r="J146" s="27"/>
      <c r="K146" s="32"/>
      <c r="X146" s="77"/>
      <c r="Y146" s="2"/>
      <c r="Z146" s="22"/>
      <c r="AA146" s="21"/>
      <c r="AB146" s="22"/>
      <c r="AC146" s="23"/>
      <c r="AD146" s="56"/>
      <c r="AE146" s="96"/>
      <c r="AF146" s="2" t="s">
        <v>274</v>
      </c>
      <c r="AG146" s="22">
        <v>6.150000379769561</v>
      </c>
      <c r="AH146" s="92">
        <v>0.19382115435150776</v>
      </c>
      <c r="AI146" s="22">
        <v>5.0109927626194368</v>
      </c>
      <c r="AJ146" s="94">
        <v>1.5323472049239969E-2</v>
      </c>
    </row>
    <row r="147" spans="7:36" x14ac:dyDescent="0.4">
      <c r="G147" s="27"/>
      <c r="H147" s="37"/>
      <c r="I147" s="37"/>
      <c r="J147" s="27"/>
      <c r="K147" s="32"/>
      <c r="X147" s="77"/>
      <c r="Y147" s="2"/>
      <c r="Z147" s="22"/>
      <c r="AA147" s="21"/>
      <c r="AB147" s="22"/>
      <c r="AC147" s="23"/>
      <c r="AD147" s="56"/>
      <c r="AE147" s="96"/>
      <c r="AF147" s="2" t="s">
        <v>275</v>
      </c>
      <c r="AG147" s="22">
        <v>1.76</v>
      </c>
      <c r="AH147" s="92">
        <v>0.19382115435150776</v>
      </c>
      <c r="AI147" s="22">
        <v>0.95593679431376943</v>
      </c>
      <c r="AJ147" s="94">
        <v>6.8486481074231853E-4</v>
      </c>
    </row>
    <row r="148" spans="7:36" x14ac:dyDescent="0.4">
      <c r="G148" s="27"/>
      <c r="H148" s="37"/>
      <c r="I148" s="37"/>
      <c r="J148" s="27"/>
      <c r="K148" s="32"/>
      <c r="X148" s="77"/>
      <c r="Y148" s="2"/>
      <c r="Z148" s="22"/>
      <c r="AA148" s="21"/>
      <c r="AB148" s="22"/>
      <c r="AC148" s="23"/>
      <c r="AD148" s="56"/>
      <c r="AE148" s="96"/>
      <c r="AF148" s="2" t="s">
        <v>276</v>
      </c>
      <c r="AG148" s="22">
        <v>7.63</v>
      </c>
      <c r="AH148" s="92">
        <v>0.88296610682236565</v>
      </c>
      <c r="AI148" s="22">
        <v>5.0312606236362614</v>
      </c>
      <c r="AJ148" s="94">
        <v>0.49407308740191425</v>
      </c>
    </row>
    <row r="149" spans="7:36" x14ac:dyDescent="0.4">
      <c r="G149" s="27"/>
      <c r="H149" s="37"/>
      <c r="I149" s="37"/>
      <c r="J149" s="27"/>
      <c r="K149" s="32"/>
      <c r="X149" s="77"/>
      <c r="Y149" s="2"/>
      <c r="Z149" s="22"/>
      <c r="AA149" s="21"/>
      <c r="AB149" s="22"/>
      <c r="AC149" s="23"/>
      <c r="AD149" s="56"/>
      <c r="AE149" s="96"/>
      <c r="AF149" s="2" t="s">
        <v>277</v>
      </c>
      <c r="AG149" s="22">
        <v>12.88</v>
      </c>
      <c r="AH149" s="92">
        <v>0.88296610682236565</v>
      </c>
      <c r="AI149" s="22">
        <v>8.9182348013649548</v>
      </c>
      <c r="AJ149" s="94">
        <v>0.42852522770836171</v>
      </c>
    </row>
    <row r="150" spans="7:36" x14ac:dyDescent="0.4">
      <c r="G150" s="27"/>
      <c r="H150" s="37"/>
      <c r="I150" s="37"/>
      <c r="J150" s="27"/>
      <c r="K150" s="32"/>
      <c r="X150" s="77"/>
      <c r="Y150" s="2"/>
      <c r="Z150" s="22"/>
      <c r="AA150" s="21"/>
      <c r="AB150" s="22"/>
      <c r="AC150" s="23"/>
      <c r="AD150" s="56"/>
      <c r="AE150" s="96"/>
      <c r="AF150" s="2" t="s">
        <v>278</v>
      </c>
      <c r="AG150" s="22">
        <v>3.15</v>
      </c>
      <c r="AH150" s="92">
        <v>0.88296610682236565</v>
      </c>
      <c r="AI150" s="22">
        <v>0.97097278322157443</v>
      </c>
      <c r="AJ150" s="94">
        <v>1.1186025340525233E-2</v>
      </c>
    </row>
    <row r="151" spans="7:36" x14ac:dyDescent="0.4">
      <c r="G151" s="27"/>
      <c r="H151" s="37"/>
      <c r="I151" s="37"/>
      <c r="J151" s="27"/>
      <c r="K151" s="32"/>
      <c r="X151" s="77"/>
      <c r="Y151" s="2"/>
      <c r="Z151" s="22"/>
      <c r="AA151" s="21"/>
      <c r="AB151" s="22"/>
      <c r="AC151" s="23"/>
      <c r="AD151" s="56"/>
      <c r="AE151" s="96"/>
      <c r="AF151" s="2" t="s">
        <v>279</v>
      </c>
      <c r="AG151" s="22">
        <v>0.28000000000000003</v>
      </c>
      <c r="AH151" s="92">
        <v>0.19382115435150776</v>
      </c>
      <c r="AI151" s="22">
        <v>-0.45696316312058538</v>
      </c>
      <c r="AJ151" s="94">
        <v>8.0723195275013999E-3</v>
      </c>
    </row>
    <row r="152" spans="7:36" x14ac:dyDescent="0.4">
      <c r="G152" s="27"/>
      <c r="H152" s="37"/>
      <c r="I152" s="37"/>
      <c r="J152" s="27"/>
      <c r="K152" s="32"/>
      <c r="X152" s="77"/>
      <c r="Y152" s="2"/>
      <c r="Z152" s="22"/>
      <c r="AA152" s="21"/>
      <c r="AB152" s="22"/>
      <c r="AC152" s="23"/>
      <c r="AD152" s="56"/>
      <c r="AE152" s="96"/>
      <c r="AF152" s="2" t="s">
        <v>280</v>
      </c>
      <c r="AG152" s="22">
        <v>3.98</v>
      </c>
      <c r="AH152" s="92">
        <v>0.19382115435150776</v>
      </c>
      <c r="AI152" s="22">
        <v>2.9082185752889789</v>
      </c>
      <c r="AJ152" s="94">
        <v>1.2728474650145331E-3</v>
      </c>
    </row>
    <row r="153" spans="7:36" x14ac:dyDescent="0.4">
      <c r="G153" s="27"/>
      <c r="H153" s="37"/>
      <c r="I153" s="37"/>
      <c r="J153" s="27"/>
      <c r="K153" s="32"/>
      <c r="X153" s="77"/>
      <c r="Y153" s="2"/>
      <c r="Z153" s="22"/>
      <c r="AA153" s="21"/>
      <c r="AB153" s="22"/>
      <c r="AC153" s="23"/>
      <c r="AD153" s="56"/>
      <c r="AE153" s="96"/>
      <c r="AF153" s="2" t="s">
        <v>281</v>
      </c>
      <c r="AG153" s="22">
        <v>2.2400000000000002</v>
      </c>
      <c r="AH153" s="92">
        <v>0.19382115435150776</v>
      </c>
      <c r="AI153" s="22">
        <v>1.3898594568557328</v>
      </c>
      <c r="AJ153" s="94">
        <v>0</v>
      </c>
    </row>
    <row r="154" spans="7:36" x14ac:dyDescent="0.4">
      <c r="G154" s="27"/>
      <c r="H154" s="37"/>
      <c r="I154" s="37"/>
      <c r="J154" s="27"/>
      <c r="K154" s="32"/>
      <c r="X154" s="77"/>
      <c r="Y154" s="2"/>
      <c r="Z154" s="22"/>
      <c r="AA154" s="21"/>
      <c r="AB154" s="22"/>
      <c r="AC154" s="23"/>
      <c r="AD154" s="56"/>
      <c r="AE154" s="96"/>
      <c r="AF154" s="2" t="s">
        <v>282</v>
      </c>
      <c r="AG154" s="22">
        <v>5.68</v>
      </c>
      <c r="AH154" s="92">
        <v>0.88296610682236565</v>
      </c>
      <c r="AI154" s="22">
        <v>3.1678752854004153</v>
      </c>
      <c r="AJ154" s="94">
        <v>0</v>
      </c>
    </row>
    <row r="155" spans="7:36" x14ac:dyDescent="0.4">
      <c r="G155" s="27"/>
      <c r="H155" s="37"/>
      <c r="I155" s="37"/>
      <c r="J155" s="27"/>
      <c r="K155" s="32"/>
      <c r="X155" s="77"/>
      <c r="Y155" s="2"/>
      <c r="Z155" s="22"/>
      <c r="AA155" s="21"/>
      <c r="AB155" s="22"/>
      <c r="AC155" s="23"/>
      <c r="AD155" s="56"/>
      <c r="AE155" s="96"/>
      <c r="AF155" s="2" t="s">
        <v>283</v>
      </c>
      <c r="AG155" s="22">
        <v>9.73</v>
      </c>
      <c r="AH155" s="92">
        <v>0.88296610682236565</v>
      </c>
      <c r="AI155" s="22">
        <v>5.9414641248932636</v>
      </c>
      <c r="AJ155" s="94">
        <v>0</v>
      </c>
    </row>
    <row r="156" spans="7:36" x14ac:dyDescent="0.4">
      <c r="AD156" s="56"/>
    </row>
    <row r="157" spans="7:36" x14ac:dyDescent="0.4">
      <c r="AD157" s="56"/>
      <c r="AF157" s="8" t="s">
        <v>9</v>
      </c>
      <c r="AG157" s="8" t="s">
        <v>10</v>
      </c>
      <c r="AH157" s="80" t="s">
        <v>411</v>
      </c>
      <c r="AI157" s="8" t="s">
        <v>11</v>
      </c>
      <c r="AJ157" s="8" t="s">
        <v>12</v>
      </c>
    </row>
    <row r="158" spans="7:36" x14ac:dyDescent="0.4">
      <c r="G158" s="27"/>
      <c r="H158" s="37"/>
      <c r="I158" s="37"/>
      <c r="J158" s="27"/>
      <c r="K158" s="32"/>
      <c r="AD158" s="56"/>
      <c r="AE158" s="97" t="s">
        <v>127</v>
      </c>
      <c r="AF158" s="2" t="s">
        <v>127</v>
      </c>
      <c r="AG158" s="22"/>
      <c r="AH158" s="92">
        <v>5.1243317568904705E-2</v>
      </c>
      <c r="AI158" s="22"/>
      <c r="AJ158" s="94">
        <v>3.4934781491756439E-2</v>
      </c>
    </row>
    <row r="159" spans="7:36" x14ac:dyDescent="0.4">
      <c r="G159" s="27"/>
      <c r="H159" s="37"/>
      <c r="I159" s="37"/>
      <c r="J159" s="27"/>
      <c r="K159" s="32"/>
      <c r="AD159" s="56"/>
      <c r="AE159" s="96"/>
      <c r="AF159" s="2" t="s">
        <v>284</v>
      </c>
      <c r="AG159" s="22">
        <v>6.1900003796697911</v>
      </c>
      <c r="AH159" s="92">
        <v>0.19382115435150776</v>
      </c>
      <c r="AI159" s="22">
        <v>5.0503995222219915</v>
      </c>
      <c r="AJ159" s="94">
        <v>1.4345061527272862E-2</v>
      </c>
    </row>
    <row r="160" spans="7:36" x14ac:dyDescent="0.4">
      <c r="G160" s="27"/>
      <c r="H160" s="37"/>
      <c r="I160" s="37"/>
      <c r="J160" s="27"/>
      <c r="K160" s="32"/>
      <c r="AD160" s="56"/>
      <c r="AE160" s="96"/>
      <c r="AF160" s="2" t="s">
        <v>285</v>
      </c>
      <c r="AG160" s="22">
        <v>1.79</v>
      </c>
      <c r="AH160" s="92">
        <v>0.19382115435150776</v>
      </c>
      <c r="AI160" s="22">
        <v>0.9853435540160943</v>
      </c>
      <c r="AJ160" s="94">
        <v>6.2654185285022695E-4</v>
      </c>
    </row>
    <row r="161" spans="7:36" x14ac:dyDescent="0.4">
      <c r="G161" s="27"/>
      <c r="H161" s="37"/>
      <c r="I161" s="37"/>
      <c r="J161" s="27"/>
      <c r="K161" s="32"/>
      <c r="AD161" s="56"/>
      <c r="AE161" s="96"/>
      <c r="AF161" s="2" t="s">
        <v>286</v>
      </c>
      <c r="AG161" s="22">
        <v>7.66</v>
      </c>
      <c r="AH161" s="92">
        <v>0.88296610682236565</v>
      </c>
      <c r="AI161" s="22">
        <v>5.0606673833385862</v>
      </c>
      <c r="AJ161" s="94">
        <v>0.45199791662342981</v>
      </c>
    </row>
    <row r="162" spans="7:36" x14ac:dyDescent="0.4">
      <c r="G162" s="27"/>
      <c r="H162" s="37"/>
      <c r="I162" s="37"/>
      <c r="J162" s="27"/>
      <c r="K162" s="32"/>
      <c r="AD162" s="56"/>
      <c r="AE162" s="96"/>
      <c r="AF162" s="2" t="s">
        <v>287</v>
      </c>
      <c r="AG162" s="22">
        <v>13</v>
      </c>
      <c r="AH162" s="92">
        <v>0.88296610682236565</v>
      </c>
      <c r="AI162" s="22">
        <v>9.0376415610672787</v>
      </c>
      <c r="AJ162" s="94">
        <v>0.48230485012739277</v>
      </c>
    </row>
    <row r="163" spans="7:36" x14ac:dyDescent="0.4">
      <c r="G163" s="27"/>
      <c r="H163" s="37"/>
      <c r="I163" s="37"/>
      <c r="J163" s="27"/>
      <c r="K163" s="32"/>
      <c r="AD163" s="56"/>
      <c r="AE163" s="96"/>
      <c r="AF163" s="2" t="s">
        <v>288</v>
      </c>
      <c r="AG163" s="22">
        <v>3.07</v>
      </c>
      <c r="AH163" s="92">
        <v>0.88296610682236565</v>
      </c>
      <c r="AI163" s="22">
        <v>0.89037954292389943</v>
      </c>
      <c r="AJ163" s="94">
        <v>7.9436670654683111E-3</v>
      </c>
    </row>
    <row r="164" spans="7:36" x14ac:dyDescent="0.4">
      <c r="G164" s="27"/>
      <c r="H164" s="37"/>
      <c r="I164" s="37"/>
      <c r="J164" s="27"/>
      <c r="K164" s="32"/>
      <c r="AD164" s="56"/>
      <c r="AE164" s="96"/>
      <c r="AF164" s="2" t="s">
        <v>289</v>
      </c>
      <c r="AG164" s="22">
        <v>0.27</v>
      </c>
      <c r="AH164" s="92">
        <v>0.19382115435150776</v>
      </c>
      <c r="AI164" s="22">
        <v>-0.46755640341826066</v>
      </c>
      <c r="AJ164" s="94">
        <v>6.7350927246975518E-3</v>
      </c>
    </row>
    <row r="165" spans="7:36" x14ac:dyDescent="0.4">
      <c r="G165" s="27"/>
      <c r="H165" s="37"/>
      <c r="I165" s="37"/>
      <c r="J165" s="27"/>
      <c r="K165" s="32"/>
      <c r="AD165" s="56"/>
      <c r="AE165" s="96"/>
      <c r="AF165" s="2" t="s">
        <v>290</v>
      </c>
      <c r="AG165" s="22">
        <v>3.99</v>
      </c>
      <c r="AH165" s="92">
        <v>0.19382115435150776</v>
      </c>
      <c r="AI165" s="22">
        <v>2.9176253349913037</v>
      </c>
      <c r="AJ165" s="94">
        <v>1.1120430414575102E-3</v>
      </c>
    </row>
    <row r="166" spans="7:36" x14ac:dyDescent="0.4">
      <c r="G166" s="27"/>
      <c r="H166" s="37"/>
      <c r="I166" s="37"/>
      <c r="J166" s="27"/>
      <c r="K166" s="32"/>
      <c r="AD166" s="56"/>
      <c r="AE166" s="96"/>
      <c r="AF166" s="2" t="s">
        <v>291</v>
      </c>
      <c r="AG166" s="22">
        <v>2.27</v>
      </c>
      <c r="AH166" s="92">
        <v>0.19382115435150776</v>
      </c>
      <c r="AI166" s="22">
        <v>1.4192662165580576</v>
      </c>
      <c r="AJ166" s="94">
        <v>0</v>
      </c>
    </row>
    <row r="167" spans="7:36" x14ac:dyDescent="0.4">
      <c r="G167" s="27"/>
      <c r="H167" s="37"/>
      <c r="I167" s="37"/>
      <c r="J167" s="27"/>
      <c r="K167" s="32"/>
      <c r="AD167" s="56"/>
      <c r="AE167" s="96"/>
      <c r="AF167" s="2" t="s">
        <v>292</v>
      </c>
      <c r="AG167" s="22">
        <v>5.71</v>
      </c>
      <c r="AH167" s="92">
        <v>0.88296610682236565</v>
      </c>
      <c r="AI167" s="22">
        <v>3.1972820451027406</v>
      </c>
      <c r="AJ167" s="94">
        <v>0</v>
      </c>
    </row>
    <row r="168" spans="7:36" x14ac:dyDescent="0.4">
      <c r="G168" s="27"/>
      <c r="H168" s="37"/>
      <c r="I168" s="37"/>
      <c r="J168" s="27"/>
      <c r="K168" s="32"/>
      <c r="AD168" s="56"/>
      <c r="AE168" s="96"/>
      <c r="AF168" s="2" t="s">
        <v>293</v>
      </c>
      <c r="AG168" s="22">
        <v>9.84</v>
      </c>
      <c r="AH168" s="92">
        <v>0.88296610682236565</v>
      </c>
      <c r="AI168" s="22">
        <v>6.0508708845955876</v>
      </c>
      <c r="AJ168" s="94">
        <v>0</v>
      </c>
    </row>
    <row r="169" spans="7:36" x14ac:dyDescent="0.4">
      <c r="AD169" s="56"/>
    </row>
    <row r="170" spans="7:36" x14ac:dyDescent="0.4">
      <c r="AD170" s="56"/>
      <c r="AF170" s="8" t="s">
        <v>9</v>
      </c>
      <c r="AG170" s="8" t="s">
        <v>10</v>
      </c>
      <c r="AH170" s="80" t="s">
        <v>411</v>
      </c>
      <c r="AI170" s="8" t="s">
        <v>11</v>
      </c>
      <c r="AJ170" s="8" t="s">
        <v>12</v>
      </c>
    </row>
    <row r="171" spans="7:36" ht="19.5" customHeight="1" x14ac:dyDescent="0.4">
      <c r="G171" s="27"/>
      <c r="H171" s="37"/>
      <c r="I171" s="37"/>
      <c r="J171" s="27"/>
      <c r="K171" s="32"/>
      <c r="AD171" s="56"/>
      <c r="AE171" s="97" t="s">
        <v>130</v>
      </c>
      <c r="AF171" s="2" t="s">
        <v>130</v>
      </c>
      <c r="AG171" s="22"/>
      <c r="AH171" s="92">
        <v>5.1157928444977407E-2</v>
      </c>
      <c r="AI171" s="22"/>
      <c r="AJ171" s="94">
        <v>3.1592652201652527E-2</v>
      </c>
    </row>
    <row r="172" spans="7:36" ht="19.5" customHeight="1" x14ac:dyDescent="0.4">
      <c r="G172" s="27"/>
      <c r="H172" s="37"/>
      <c r="I172" s="37"/>
      <c r="J172" s="27"/>
      <c r="K172" s="32"/>
      <c r="AD172" s="56"/>
      <c r="AE172" s="96"/>
      <c r="AF172" s="2" t="s">
        <v>294</v>
      </c>
      <c r="AG172" s="22">
        <v>6.2200003791530714</v>
      </c>
      <c r="AH172" s="92">
        <v>0.19382115435150776</v>
      </c>
      <c r="AI172" s="22">
        <v>5.0796752329807688</v>
      </c>
      <c r="AJ172" s="94">
        <v>1.3877338482735728E-2</v>
      </c>
    </row>
    <row r="173" spans="7:36" ht="19.5" customHeight="1" x14ac:dyDescent="0.4">
      <c r="G173" s="27"/>
      <c r="H173" s="37"/>
      <c r="I173" s="37"/>
      <c r="J173" s="27"/>
      <c r="K173" s="32"/>
      <c r="AD173" s="56"/>
      <c r="AE173" s="96"/>
      <c r="AF173" s="2" t="s">
        <v>295</v>
      </c>
      <c r="AG173" s="22">
        <v>1.84</v>
      </c>
      <c r="AH173" s="92">
        <v>0.19382115435150776</v>
      </c>
      <c r="AI173" s="22">
        <v>1.0346192652915911</v>
      </c>
      <c r="AJ173" s="94">
        <v>6.3467859781127667E-4</v>
      </c>
    </row>
    <row r="174" spans="7:36" ht="19.5" customHeight="1" x14ac:dyDescent="0.4">
      <c r="G174" s="27"/>
      <c r="H174" s="37"/>
      <c r="I174" s="37"/>
      <c r="J174" s="27"/>
      <c r="K174" s="32"/>
      <c r="AD174" s="56"/>
      <c r="AE174" s="96"/>
      <c r="AF174" s="2" t="s">
        <v>296</v>
      </c>
      <c r="AG174" s="22">
        <v>7.67</v>
      </c>
      <c r="AH174" s="92">
        <v>0.88296610682236565</v>
      </c>
      <c r="AI174" s="22">
        <v>5.0699430946140831</v>
      </c>
      <c r="AJ174" s="94">
        <v>0.41758048999044584</v>
      </c>
    </row>
    <row r="175" spans="7:36" ht="19.5" customHeight="1" x14ac:dyDescent="0.4">
      <c r="G175" s="27"/>
      <c r="H175" s="37"/>
      <c r="I175" s="37"/>
      <c r="J175" s="27"/>
      <c r="K175" s="32"/>
      <c r="AD175" s="56"/>
      <c r="AE175" s="96"/>
      <c r="AF175" s="2" t="s">
        <v>297</v>
      </c>
      <c r="AG175" s="22">
        <v>13.08</v>
      </c>
      <c r="AH175" s="92">
        <v>0.88296610682236565</v>
      </c>
      <c r="AI175" s="22">
        <v>9.1169172723427767</v>
      </c>
      <c r="AJ175" s="94">
        <v>0.52351049889429346</v>
      </c>
    </row>
    <row r="176" spans="7:36" ht="19.5" customHeight="1" x14ac:dyDescent="0.4">
      <c r="G176" s="27"/>
      <c r="H176" s="37"/>
      <c r="I176" s="37"/>
      <c r="J176" s="27"/>
      <c r="K176" s="32"/>
      <c r="AD176" s="56"/>
      <c r="AE176" s="96"/>
      <c r="AF176" s="2" t="s">
        <v>298</v>
      </c>
      <c r="AG176" s="22">
        <v>3.06</v>
      </c>
      <c r="AH176" s="92">
        <v>0.88296610682236565</v>
      </c>
      <c r="AI176" s="22">
        <v>0.87965525419939672</v>
      </c>
      <c r="AJ176" s="94">
        <v>7.0084955231123772E-3</v>
      </c>
    </row>
    <row r="177" spans="7:36" ht="19.5" customHeight="1" x14ac:dyDescent="0.4">
      <c r="G177" s="27"/>
      <c r="H177" s="37"/>
      <c r="I177" s="37"/>
      <c r="J177" s="27"/>
      <c r="K177" s="32"/>
      <c r="AD177" s="56"/>
      <c r="AE177" s="96"/>
      <c r="AF177" s="2" t="s">
        <v>299</v>
      </c>
      <c r="AG177" s="22">
        <v>0.16</v>
      </c>
      <c r="AH177" s="92">
        <v>0.19382115435150776</v>
      </c>
      <c r="AI177" s="22">
        <v>-0.5782806921427639</v>
      </c>
      <c r="AJ177" s="94">
        <v>4.7200581135725074E-3</v>
      </c>
    </row>
    <row r="178" spans="7:36" ht="19.5" customHeight="1" x14ac:dyDescent="0.4">
      <c r="G178" s="27"/>
      <c r="H178" s="37"/>
      <c r="I178" s="37"/>
      <c r="J178" s="27"/>
      <c r="K178" s="32"/>
      <c r="AD178" s="56"/>
      <c r="AE178" s="96"/>
      <c r="AF178" s="2" t="s">
        <v>300</v>
      </c>
      <c r="AG178" s="22">
        <v>4.0199999999999996</v>
      </c>
      <c r="AH178" s="92">
        <v>0.19382115435150776</v>
      </c>
      <c r="AI178" s="22">
        <v>2.9469010462667997</v>
      </c>
      <c r="AJ178" s="94">
        <v>1.0757847000306075E-3</v>
      </c>
    </row>
    <row r="179" spans="7:36" ht="19.5" customHeight="1" x14ac:dyDescent="0.4">
      <c r="G179" s="27"/>
      <c r="H179" s="37"/>
      <c r="I179" s="37"/>
      <c r="J179" s="27"/>
      <c r="K179" s="32"/>
      <c r="AD179" s="56"/>
      <c r="AE179" s="96"/>
      <c r="AF179" s="2" t="s">
        <v>301</v>
      </c>
      <c r="AG179" s="22">
        <v>2.3199999999999998</v>
      </c>
      <c r="AH179" s="92">
        <v>0.19382115435150776</v>
      </c>
      <c r="AI179" s="22">
        <v>1.4685419278335541</v>
      </c>
      <c r="AJ179" s="94">
        <v>0</v>
      </c>
    </row>
    <row r="180" spans="7:36" ht="19.5" customHeight="1" x14ac:dyDescent="0.4">
      <c r="G180" s="27"/>
      <c r="H180" s="37"/>
      <c r="I180" s="37"/>
      <c r="J180" s="27"/>
      <c r="K180" s="32"/>
      <c r="AD180" s="56"/>
      <c r="AE180" s="96"/>
      <c r="AF180" s="2" t="s">
        <v>302</v>
      </c>
      <c r="AG180" s="22">
        <v>5.73</v>
      </c>
      <c r="AH180" s="92">
        <v>0.88296610682236565</v>
      </c>
      <c r="AI180" s="22">
        <v>3.2165577563782377</v>
      </c>
      <c r="AJ180" s="94">
        <v>0</v>
      </c>
    </row>
    <row r="181" spans="7:36" ht="19.5" customHeight="1" x14ac:dyDescent="0.4">
      <c r="G181" s="27"/>
      <c r="H181" s="37"/>
      <c r="I181" s="37"/>
      <c r="J181" s="27"/>
      <c r="K181" s="32"/>
      <c r="AD181" s="56"/>
      <c r="AE181" s="96"/>
      <c r="AF181" s="2" t="s">
        <v>303</v>
      </c>
      <c r="AG181" s="22">
        <v>9.9499999999999993</v>
      </c>
      <c r="AH181" s="92">
        <v>0.88296610682236565</v>
      </c>
      <c r="AI181" s="22">
        <v>6.1601465958710833</v>
      </c>
      <c r="AJ181" s="94">
        <v>0</v>
      </c>
    </row>
    <row r="182" spans="7:36" x14ac:dyDescent="0.4">
      <c r="AD182" s="56"/>
    </row>
    <row r="183" spans="7:36" x14ac:dyDescent="0.4">
      <c r="AD183" s="56"/>
      <c r="AF183" s="8" t="s">
        <v>9</v>
      </c>
      <c r="AG183" s="8" t="s">
        <v>10</v>
      </c>
      <c r="AH183" s="80" t="s">
        <v>411</v>
      </c>
      <c r="AI183" s="8" t="s">
        <v>11</v>
      </c>
      <c r="AJ183" s="8" t="s">
        <v>12</v>
      </c>
    </row>
    <row r="184" spans="7:36" x14ac:dyDescent="0.4">
      <c r="G184" s="27"/>
      <c r="H184" s="37"/>
      <c r="I184" s="37"/>
      <c r="J184" s="27"/>
      <c r="K184" s="32"/>
      <c r="AD184" s="56"/>
      <c r="AE184" s="97" t="s">
        <v>133</v>
      </c>
      <c r="AF184" s="2" t="s">
        <v>133</v>
      </c>
      <c r="AG184" s="22"/>
      <c r="AH184" s="92">
        <v>5.1133015888126972E-2</v>
      </c>
      <c r="AI184" s="22"/>
      <c r="AJ184" s="94">
        <v>2.6452872902154922E-2</v>
      </c>
    </row>
    <row r="185" spans="7:36" x14ac:dyDescent="0.4">
      <c r="G185" s="27"/>
      <c r="H185" s="37"/>
      <c r="I185" s="37"/>
      <c r="J185" s="27"/>
      <c r="K185" s="32"/>
      <c r="AD185" s="56"/>
      <c r="AE185" s="96"/>
      <c r="AF185" s="2" t="s">
        <v>304</v>
      </c>
      <c r="AG185" s="22">
        <v>6.2400003788004144</v>
      </c>
      <c r="AH185" s="92">
        <v>0.19382115435150776</v>
      </c>
      <c r="AI185" s="22">
        <v>5.0994636912007705</v>
      </c>
      <c r="AJ185" s="94">
        <v>1.2161339103188704E-2</v>
      </c>
    </row>
    <row r="186" spans="7:36" x14ac:dyDescent="0.4">
      <c r="G186" s="27"/>
      <c r="H186" s="37"/>
      <c r="I186" s="37"/>
      <c r="J186" s="27"/>
      <c r="K186" s="32"/>
      <c r="AD186" s="56"/>
      <c r="AE186" s="96"/>
      <c r="AF186" s="2" t="s">
        <v>305</v>
      </c>
      <c r="AG186" s="22">
        <v>1.9</v>
      </c>
      <c r="AH186" s="92">
        <v>0.19382115435150776</v>
      </c>
      <c r="AI186" s="22">
        <v>1.0944077238642496</v>
      </c>
      <c r="AJ186" s="94">
        <v>6.098584856254677E-4</v>
      </c>
    </row>
    <row r="187" spans="7:36" x14ac:dyDescent="0.4">
      <c r="G187" s="27"/>
      <c r="H187" s="37"/>
      <c r="I187" s="37"/>
      <c r="J187" s="27"/>
      <c r="K187" s="32"/>
      <c r="AD187" s="56"/>
      <c r="AE187" s="96"/>
      <c r="AF187" s="2" t="s">
        <v>306</v>
      </c>
      <c r="AG187" s="22">
        <v>7.7</v>
      </c>
      <c r="AH187" s="92">
        <v>0.88296610682236565</v>
      </c>
      <c r="AI187" s="22">
        <v>5.099731553186742</v>
      </c>
      <c r="AJ187" s="94">
        <v>0.37446860857419612</v>
      </c>
    </row>
    <row r="188" spans="7:36" x14ac:dyDescent="0.4">
      <c r="G188" s="27"/>
      <c r="H188" s="37"/>
      <c r="I188" s="37"/>
      <c r="J188" s="27"/>
      <c r="K188" s="32"/>
      <c r="AD188" s="56"/>
      <c r="AE188" s="96"/>
      <c r="AF188" s="2" t="s">
        <v>307</v>
      </c>
      <c r="AG188" s="22">
        <v>13.2</v>
      </c>
      <c r="AH188" s="92">
        <v>0.88296610682236565</v>
      </c>
      <c r="AI188" s="22">
        <v>9.2367057309154337</v>
      </c>
      <c r="AJ188" s="94">
        <v>0.57756466189662858</v>
      </c>
    </row>
    <row r="189" spans="7:36" x14ac:dyDescent="0.4">
      <c r="G189" s="27"/>
      <c r="H189" s="37"/>
      <c r="I189" s="37"/>
      <c r="J189" s="27"/>
      <c r="K189" s="32"/>
      <c r="AD189" s="56"/>
      <c r="AE189" s="96"/>
      <c r="AF189" s="2" t="s">
        <v>308</v>
      </c>
      <c r="AG189" s="22">
        <v>3.01</v>
      </c>
      <c r="AH189" s="92">
        <v>0.88296610682236565</v>
      </c>
      <c r="AI189" s="22">
        <v>0.82944371277205464</v>
      </c>
      <c r="AJ189" s="94">
        <v>5.2275719344892658E-3</v>
      </c>
    </row>
    <row r="190" spans="7:36" x14ac:dyDescent="0.4">
      <c r="G190" s="27"/>
      <c r="H190" s="37"/>
      <c r="I190" s="37"/>
      <c r="J190" s="27"/>
      <c r="K190" s="32"/>
      <c r="AD190" s="56"/>
      <c r="AE190" s="96"/>
      <c r="AF190" s="2" t="s">
        <v>309</v>
      </c>
      <c r="AG190" s="22">
        <v>-0.03</v>
      </c>
      <c r="AH190" s="92">
        <v>0.19382115435150776</v>
      </c>
      <c r="AI190" s="22">
        <v>-0.76849223357010521</v>
      </c>
      <c r="AJ190" s="94">
        <v>2.5504837635339974E-3</v>
      </c>
    </row>
    <row r="191" spans="7:36" x14ac:dyDescent="0.4">
      <c r="G191" s="27"/>
      <c r="H191" s="37"/>
      <c r="I191" s="37"/>
      <c r="J191" s="27"/>
      <c r="K191" s="32"/>
      <c r="AD191" s="56"/>
      <c r="AE191" s="96"/>
      <c r="AF191" s="2" t="s">
        <v>310</v>
      </c>
      <c r="AG191" s="22">
        <v>4.05</v>
      </c>
      <c r="AH191" s="92">
        <v>0.19382115435150776</v>
      </c>
      <c r="AI191" s="22">
        <v>2.9766895048394586</v>
      </c>
      <c r="AJ191" s="94">
        <v>9.6471844207828667E-4</v>
      </c>
    </row>
    <row r="192" spans="7:36" x14ac:dyDescent="0.4">
      <c r="G192" s="27"/>
      <c r="H192" s="37"/>
      <c r="I192" s="37"/>
      <c r="J192" s="27"/>
      <c r="K192" s="32"/>
      <c r="AD192" s="56"/>
      <c r="AE192" s="96"/>
      <c r="AF192" s="2" t="s">
        <v>311</v>
      </c>
      <c r="AG192" s="22">
        <v>2.38</v>
      </c>
      <c r="AH192" s="92">
        <v>0.19382115435150776</v>
      </c>
      <c r="AI192" s="22">
        <v>1.5283303864062128</v>
      </c>
      <c r="AJ192" s="94">
        <v>0</v>
      </c>
    </row>
    <row r="193" spans="7:36" x14ac:dyDescent="0.4">
      <c r="G193" s="27"/>
      <c r="H193" s="37"/>
      <c r="I193" s="37"/>
      <c r="J193" s="27"/>
      <c r="K193" s="32"/>
      <c r="AD193" s="56"/>
      <c r="AE193" s="96"/>
      <c r="AF193" s="2" t="s">
        <v>312</v>
      </c>
      <c r="AG193" s="22">
        <v>5.75</v>
      </c>
      <c r="AH193" s="92">
        <v>0.88296610682236565</v>
      </c>
      <c r="AI193" s="22">
        <v>3.2363462149508959</v>
      </c>
      <c r="AJ193" s="94">
        <v>0</v>
      </c>
    </row>
    <row r="194" spans="7:36" x14ac:dyDescent="0.4">
      <c r="G194" s="27"/>
      <c r="H194" s="37"/>
      <c r="I194" s="37"/>
      <c r="J194" s="27"/>
      <c r="K194" s="32"/>
      <c r="AD194" s="56"/>
      <c r="AE194" s="96"/>
      <c r="AF194" s="2" t="s">
        <v>313</v>
      </c>
      <c r="AG194" s="22">
        <v>10.050000000000001</v>
      </c>
      <c r="AH194" s="92">
        <v>0.88296610682236565</v>
      </c>
      <c r="AI194" s="22">
        <v>6.2599350544437433</v>
      </c>
      <c r="AJ194" s="94">
        <v>0</v>
      </c>
    </row>
    <row r="195" spans="7:36" x14ac:dyDescent="0.4">
      <c r="AD195" s="56"/>
    </row>
    <row r="196" spans="7:36" x14ac:dyDescent="0.4">
      <c r="AD196" s="56"/>
      <c r="AF196" s="8" t="s">
        <v>9</v>
      </c>
      <c r="AG196" s="8" t="s">
        <v>10</v>
      </c>
      <c r="AH196" s="80" t="s">
        <v>411</v>
      </c>
      <c r="AI196" s="8" t="s">
        <v>11</v>
      </c>
      <c r="AJ196" s="8" t="s">
        <v>12</v>
      </c>
    </row>
    <row r="197" spans="7:36" x14ac:dyDescent="0.4">
      <c r="G197" s="27"/>
      <c r="H197" s="37"/>
      <c r="I197" s="37"/>
      <c r="J197" s="27"/>
      <c r="K197" s="32"/>
      <c r="AD197" s="56"/>
      <c r="AE197" s="97" t="s">
        <v>136</v>
      </c>
      <c r="AF197" s="2" t="s">
        <v>136</v>
      </c>
      <c r="AG197" s="22"/>
      <c r="AH197" s="92">
        <v>5.1619057074697314E-2</v>
      </c>
      <c r="AI197" s="22"/>
      <c r="AJ197" s="94">
        <v>9.7448796033859253E-2</v>
      </c>
    </row>
    <row r="198" spans="7:36" x14ac:dyDescent="0.4">
      <c r="G198" s="27"/>
      <c r="H198" s="37"/>
      <c r="I198" s="37"/>
      <c r="J198" s="27"/>
      <c r="K198" s="32"/>
      <c r="AD198" s="56"/>
      <c r="AE198" s="96"/>
      <c r="AF198" s="2" t="s">
        <v>314</v>
      </c>
      <c r="AG198" s="22">
        <v>6.2950003853137719</v>
      </c>
      <c r="AH198" s="92">
        <v>7.1550490058185007E-2</v>
      </c>
      <c r="AI198" s="22">
        <v>5.5913609191840692</v>
      </c>
      <c r="AJ198" s="94">
        <v>0.1390536070424539</v>
      </c>
    </row>
    <row r="199" spans="7:36" x14ac:dyDescent="0.4">
      <c r="G199" s="27"/>
      <c r="H199" s="37"/>
      <c r="I199" s="37"/>
      <c r="J199" s="27"/>
      <c r="K199" s="32"/>
      <c r="AD199" s="56"/>
      <c r="AE199" s="96"/>
      <c r="AF199" s="2" t="s">
        <v>315</v>
      </c>
      <c r="AG199" s="22">
        <v>11.590001026878355</v>
      </c>
      <c r="AH199" s="92">
        <v>0.51719361320200974</v>
      </c>
      <c r="AI199" s="22">
        <v>9.4654840997206975</v>
      </c>
      <c r="AJ199" s="94">
        <v>3.8049618029202419E-3</v>
      </c>
    </row>
    <row r="200" spans="7:36" x14ac:dyDescent="0.4">
      <c r="G200" s="27"/>
      <c r="H200" s="37"/>
      <c r="I200" s="37"/>
      <c r="J200" s="27"/>
      <c r="K200" s="32"/>
      <c r="AD200" s="56"/>
      <c r="AE200" s="96"/>
      <c r="AF200" s="2" t="s">
        <v>316</v>
      </c>
      <c r="AG200" s="22">
        <v>15.985001751924216</v>
      </c>
      <c r="AH200" s="92">
        <v>1</v>
      </c>
      <c r="AI200" s="22">
        <v>13.012301057417213</v>
      </c>
      <c r="AJ200" s="94">
        <v>4.9001809876621198E-5</v>
      </c>
    </row>
    <row r="201" spans="7:36" x14ac:dyDescent="0.4">
      <c r="G201" s="27"/>
      <c r="H201" s="37"/>
      <c r="I201" s="37"/>
      <c r="J201" s="27"/>
      <c r="K201" s="32"/>
      <c r="AD201" s="56"/>
      <c r="AE201" s="96"/>
      <c r="AF201" s="2" t="s">
        <v>317</v>
      </c>
      <c r="AG201" s="22">
        <v>19.480002560451339</v>
      </c>
      <c r="AH201" s="92">
        <v>0.51719361320200974</v>
      </c>
      <c r="AI201" s="22">
        <v>16.231811792273604</v>
      </c>
      <c r="AJ201" s="94">
        <v>2.9700770618216007E-7</v>
      </c>
    </row>
    <row r="202" spans="7:36" x14ac:dyDescent="0.4">
      <c r="G202" s="27"/>
      <c r="H202" s="37"/>
      <c r="I202" s="37"/>
      <c r="J202" s="27"/>
      <c r="K202" s="32"/>
      <c r="AD202" s="56"/>
      <c r="AE202" s="96"/>
      <c r="AF202" s="2" t="s">
        <v>318</v>
      </c>
      <c r="AG202" s="22">
        <v>6.94</v>
      </c>
      <c r="AH202" s="92">
        <v>0.51719361320200974</v>
      </c>
      <c r="AI202" s="22">
        <v>4.5761310915911135</v>
      </c>
      <c r="AJ202" s="94">
        <v>0.41316030365005707</v>
      </c>
    </row>
    <row r="203" spans="7:36" x14ac:dyDescent="0.4">
      <c r="G203" s="27"/>
      <c r="H203" s="37"/>
      <c r="I203" s="37"/>
      <c r="J203" s="27"/>
      <c r="K203" s="32"/>
      <c r="AD203" s="56"/>
      <c r="AE203" s="96"/>
      <c r="AF203" s="2" t="s">
        <v>319</v>
      </c>
      <c r="AG203" s="22">
        <v>3.47</v>
      </c>
      <c r="AH203" s="92">
        <v>0.51719361320200974</v>
      </c>
      <c r="AI203" s="22">
        <v>1.5258432511764266</v>
      </c>
      <c r="AJ203" s="94">
        <v>9.5720109914591428E-2</v>
      </c>
    </row>
    <row r="204" spans="7:36" x14ac:dyDescent="0.4">
      <c r="G204" s="27"/>
      <c r="H204" s="37"/>
      <c r="I204" s="37"/>
      <c r="J204" s="27"/>
      <c r="K204" s="32"/>
      <c r="AD204" s="56"/>
      <c r="AE204" s="96"/>
      <c r="AF204" s="2" t="s">
        <v>320</v>
      </c>
      <c r="AG204" s="22">
        <v>5.3</v>
      </c>
      <c r="AH204" s="92">
        <v>0.51719361320200974</v>
      </c>
      <c r="AI204" s="22">
        <v>2.4125295884904321</v>
      </c>
      <c r="AJ204" s="94">
        <v>2.1581070604318228E-2</v>
      </c>
    </row>
    <row r="205" spans="7:36" x14ac:dyDescent="0.4">
      <c r="G205" s="27"/>
      <c r="H205" s="37"/>
      <c r="I205" s="37"/>
      <c r="J205" s="27"/>
      <c r="K205" s="32"/>
      <c r="AD205" s="56"/>
      <c r="AE205" s="96"/>
      <c r="AF205" s="2" t="s">
        <v>321</v>
      </c>
      <c r="AG205" s="22">
        <v>0.8</v>
      </c>
      <c r="AH205" s="92">
        <v>7.1550490058185007E-2</v>
      </c>
      <c r="AI205" s="22">
        <v>0.49840498789983567</v>
      </c>
      <c r="AJ205" s="94">
        <v>0.17370943877724246</v>
      </c>
    </row>
    <row r="206" spans="7:36" x14ac:dyDescent="0.4">
      <c r="G206" s="27"/>
      <c r="H206" s="37"/>
      <c r="I206" s="37"/>
      <c r="J206" s="27"/>
      <c r="K206" s="32"/>
      <c r="AD206" s="56"/>
      <c r="AE206" s="96"/>
      <c r="AF206" s="2" t="s">
        <v>322</v>
      </c>
      <c r="AG206" s="22">
        <v>4.8</v>
      </c>
      <c r="AH206" s="92">
        <v>7.1550490058185007E-2</v>
      </c>
      <c r="AI206" s="22">
        <v>4.1635867263093997</v>
      </c>
      <c r="AJ206" s="94">
        <v>5.4651418010642432E-2</v>
      </c>
    </row>
    <row r="207" spans="7:36" x14ac:dyDescent="0.4">
      <c r="G207" s="27"/>
      <c r="H207" s="37"/>
      <c r="I207" s="37"/>
      <c r="J207" s="27"/>
      <c r="K207" s="32"/>
      <c r="AD207" s="56"/>
      <c r="AE207" s="96"/>
      <c r="AF207" s="2" t="s">
        <v>323</v>
      </c>
      <c r="AG207" s="22">
        <v>8.74</v>
      </c>
      <c r="AH207" s="92">
        <v>0.51719361320200974</v>
      </c>
      <c r="AI207" s="22">
        <v>6.7499354577205484</v>
      </c>
      <c r="AJ207" s="94">
        <v>8.1131292904891648E-4</v>
      </c>
    </row>
    <row r="208" spans="7:36" ht="27" customHeight="1" x14ac:dyDescent="0.4">
      <c r="AD208" s="56"/>
      <c r="AE208" s="96"/>
      <c r="AF208" s="2" t="s">
        <v>324</v>
      </c>
      <c r="AG208" s="22">
        <v>12.01</v>
      </c>
      <c r="AH208" s="92">
        <v>1</v>
      </c>
      <c r="AI208" s="22">
        <v>9.2389778828103069</v>
      </c>
      <c r="AJ208" s="94">
        <v>9.6265141316867199E-6</v>
      </c>
    </row>
    <row r="209" spans="7:36" x14ac:dyDescent="0.4">
      <c r="AD209" s="56"/>
    </row>
    <row r="210" spans="7:36" x14ac:dyDescent="0.4">
      <c r="G210" s="27"/>
      <c r="H210" s="37"/>
      <c r="I210" s="37"/>
      <c r="J210" s="27"/>
      <c r="K210" s="32"/>
      <c r="AD210" s="56"/>
      <c r="AF210" s="8" t="s">
        <v>9</v>
      </c>
      <c r="AG210" s="8" t="s">
        <v>10</v>
      </c>
      <c r="AH210" s="80" t="s">
        <v>411</v>
      </c>
      <c r="AI210" s="8" t="s">
        <v>11</v>
      </c>
      <c r="AJ210" s="8" t="s">
        <v>12</v>
      </c>
    </row>
    <row r="211" spans="7:36" x14ac:dyDescent="0.4">
      <c r="G211" s="27"/>
      <c r="H211" s="37"/>
      <c r="I211" s="37"/>
      <c r="J211" s="27"/>
      <c r="K211" s="32"/>
      <c r="AD211" s="56"/>
      <c r="AE211" s="97" t="s">
        <v>138</v>
      </c>
      <c r="AF211" s="2" t="s">
        <v>138</v>
      </c>
      <c r="AG211" s="22"/>
      <c r="AH211" s="92">
        <v>6.2290671097135174E-2</v>
      </c>
      <c r="AI211" s="22"/>
      <c r="AJ211" s="94">
        <v>5.6312123852819695E-9</v>
      </c>
    </row>
    <row r="212" spans="7:36" x14ac:dyDescent="0.4">
      <c r="G212" s="27"/>
      <c r="H212" s="37"/>
      <c r="I212" s="37"/>
      <c r="J212" s="27"/>
      <c r="K212" s="32"/>
      <c r="AD212" s="56"/>
      <c r="AE212" s="96"/>
      <c r="AF212" s="2" t="s">
        <v>325</v>
      </c>
      <c r="AG212" s="22">
        <v>9.0250004125032177</v>
      </c>
      <c r="AH212" s="92">
        <v>7.1550490058185007E-2</v>
      </c>
      <c r="AI212" s="22">
        <v>8.4029738891812364</v>
      </c>
      <c r="AJ212" s="94">
        <v>5.2073966391775496E-6</v>
      </c>
    </row>
    <row r="213" spans="7:36" x14ac:dyDescent="0.4">
      <c r="G213" s="27"/>
      <c r="H213" s="37"/>
      <c r="I213" s="37"/>
      <c r="J213" s="27"/>
      <c r="K213" s="32"/>
      <c r="AD213" s="56"/>
      <c r="AE213" s="96"/>
      <c r="AF213" s="2" t="s">
        <v>326</v>
      </c>
      <c r="AG213" s="22">
        <v>18.690001259426186</v>
      </c>
      <c r="AH213" s="92">
        <v>0.51719361320200974</v>
      </c>
      <c r="AI213" s="22">
        <v>16.647097275076248</v>
      </c>
      <c r="AJ213" s="94">
        <v>3.3403264021558843E-3</v>
      </c>
    </row>
    <row r="214" spans="7:36" x14ac:dyDescent="0.4">
      <c r="G214" s="27"/>
      <c r="H214" s="37"/>
      <c r="I214" s="37"/>
      <c r="J214" s="27"/>
      <c r="K214" s="32"/>
      <c r="AD214" s="56"/>
      <c r="AE214" s="96"/>
      <c r="AF214" s="2" t="s">
        <v>327</v>
      </c>
      <c r="AG214" s="22">
        <v>26.985002167743836</v>
      </c>
      <c r="AH214" s="92">
        <v>1</v>
      </c>
      <c r="AI214" s="22">
        <v>24.093914416044555</v>
      </c>
      <c r="AJ214" s="94">
        <v>0.3417046659657314</v>
      </c>
    </row>
    <row r="215" spans="7:36" x14ac:dyDescent="0.4">
      <c r="G215" s="27"/>
      <c r="H215" s="37"/>
      <c r="I215" s="37"/>
      <c r="J215" s="27"/>
      <c r="K215" s="32"/>
      <c r="AD215" s="56"/>
      <c r="AE215" s="96"/>
      <c r="AF215" s="2" t="s">
        <v>328</v>
      </c>
      <c r="AG215" s="22">
        <v>32.98000309375287</v>
      </c>
      <c r="AH215" s="92">
        <v>0.51719361320200974</v>
      </c>
      <c r="AI215" s="22">
        <v>29.813425268382858</v>
      </c>
      <c r="AJ215" s="94">
        <v>0.65494770301158234</v>
      </c>
    </row>
    <row r="216" spans="7:36" x14ac:dyDescent="0.4">
      <c r="G216" s="27"/>
      <c r="H216" s="37"/>
      <c r="I216" s="37"/>
      <c r="J216" s="27"/>
      <c r="K216" s="32"/>
      <c r="AD216" s="56"/>
      <c r="AE216" s="96"/>
      <c r="AF216" s="2" t="s">
        <v>329</v>
      </c>
      <c r="AG216" s="22">
        <v>8.43</v>
      </c>
      <c r="AH216" s="92">
        <v>0.51719361320200974</v>
      </c>
      <c r="AI216" s="22">
        <v>6.1477440343988352</v>
      </c>
      <c r="AJ216" s="94">
        <v>8.9034220399068345E-7</v>
      </c>
    </row>
    <row r="217" spans="7:36" x14ac:dyDescent="0.4">
      <c r="G217" s="27"/>
      <c r="H217" s="37"/>
      <c r="I217" s="37"/>
      <c r="J217" s="27"/>
      <c r="K217" s="32"/>
      <c r="AD217" s="56"/>
      <c r="AE217" s="96"/>
      <c r="AF217" s="2" t="s">
        <v>330</v>
      </c>
      <c r="AG217" s="22">
        <v>7.01</v>
      </c>
      <c r="AH217" s="92">
        <v>7.1550490058185007E-2</v>
      </c>
      <c r="AI217" s="22">
        <v>6.4551996691171212</v>
      </c>
      <c r="AJ217" s="94">
        <v>6.1807304976731764E-7</v>
      </c>
    </row>
    <row r="218" spans="7:36" x14ac:dyDescent="0.4">
      <c r="G218" s="27"/>
      <c r="H218" s="37"/>
      <c r="I218" s="37"/>
      <c r="J218" s="27"/>
      <c r="K218" s="32"/>
      <c r="AD218" s="56"/>
      <c r="AE218" s="96"/>
      <c r="AF218" s="2" t="s">
        <v>331</v>
      </c>
      <c r="AG218" s="22">
        <v>12.73</v>
      </c>
      <c r="AH218" s="92">
        <v>0.51719361320200974</v>
      </c>
      <c r="AI218" s="22">
        <v>10.82154840052827</v>
      </c>
      <c r="AJ218" s="94">
        <v>5.528747669126207E-7</v>
      </c>
    </row>
    <row r="219" spans="7:36" x14ac:dyDescent="0.4">
      <c r="G219" s="27"/>
      <c r="H219" s="37"/>
      <c r="I219" s="37"/>
      <c r="J219" s="27"/>
      <c r="K219" s="32"/>
      <c r="AD219" s="56"/>
      <c r="AE219" s="96"/>
      <c r="AF219" s="2" t="s">
        <v>332</v>
      </c>
      <c r="AG219" s="22">
        <v>16.71</v>
      </c>
      <c r="AH219" s="92">
        <v>1</v>
      </c>
      <c r="AI219" s="22">
        <v>14.020590825618029</v>
      </c>
      <c r="AJ219" s="94">
        <v>3.3643984564840309E-8</v>
      </c>
    </row>
    <row r="220" spans="7:36" x14ac:dyDescent="0.4">
      <c r="G220" s="27"/>
      <c r="H220" s="37"/>
      <c r="I220" s="37"/>
      <c r="J220" s="27"/>
      <c r="K220" s="32"/>
      <c r="AD220" s="56"/>
      <c r="AE220" s="96"/>
      <c r="AF220" s="2" t="s">
        <v>333</v>
      </c>
      <c r="AG220" s="22">
        <v>19.670000000000002</v>
      </c>
      <c r="AH220" s="92">
        <v>0.51719361320200974</v>
      </c>
      <c r="AI220" s="22">
        <v>16.7723269443864</v>
      </c>
      <c r="AJ220" s="94">
        <v>7.3094007678660237E-10</v>
      </c>
    </row>
    <row r="221" spans="7:36" x14ac:dyDescent="0.4">
      <c r="G221" s="27"/>
      <c r="H221" s="37"/>
      <c r="I221" s="37"/>
      <c r="J221" s="27"/>
      <c r="K221" s="32"/>
      <c r="AD221" s="56"/>
      <c r="AE221" s="78"/>
      <c r="AF221" s="2"/>
      <c r="AG221" s="22"/>
      <c r="AH221" s="21"/>
      <c r="AI221" s="22"/>
      <c r="AJ221" s="23"/>
    </row>
    <row r="222" spans="7:36" x14ac:dyDescent="0.4">
      <c r="AD222" s="56"/>
      <c r="AE222" s="78"/>
      <c r="AF222" s="2" t="s">
        <v>9</v>
      </c>
      <c r="AG222" s="22" t="s">
        <v>10</v>
      </c>
      <c r="AH222" s="85" t="s">
        <v>411</v>
      </c>
      <c r="AI222" s="22" t="s">
        <v>11</v>
      </c>
      <c r="AJ222" s="23" t="s">
        <v>12</v>
      </c>
    </row>
    <row r="223" spans="7:36" x14ac:dyDescent="0.4">
      <c r="AD223" s="56"/>
      <c r="AE223" s="97" t="s">
        <v>140</v>
      </c>
      <c r="AF223" s="2" t="s">
        <v>140</v>
      </c>
      <c r="AG223" s="22"/>
      <c r="AH223" s="92">
        <v>9.4888949757365698E-2</v>
      </c>
      <c r="AI223" s="22"/>
      <c r="AJ223" s="94">
        <v>2.2238352398305144E-15</v>
      </c>
    </row>
    <row r="224" spans="7:36" x14ac:dyDescent="0.4">
      <c r="G224" s="27"/>
      <c r="H224" s="37"/>
      <c r="I224" s="37"/>
      <c r="J224" s="27"/>
      <c r="K224" s="32"/>
      <c r="AD224" s="56"/>
      <c r="AE224" s="96"/>
      <c r="AF224" s="2" t="s">
        <v>334</v>
      </c>
      <c r="AG224" s="22">
        <v>11.395000522958448</v>
      </c>
      <c r="AH224" s="92">
        <v>7.1550490058185007E-2</v>
      </c>
      <c r="AI224" s="22">
        <v>10.955766629642564</v>
      </c>
      <c r="AJ224" s="94">
        <v>7.3436860066981156E-10</v>
      </c>
    </row>
    <row r="225" spans="7:36" ht="19.5" customHeight="1" x14ac:dyDescent="0.4">
      <c r="G225" s="27"/>
      <c r="H225" s="37"/>
      <c r="I225" s="37"/>
      <c r="J225" s="27"/>
      <c r="K225" s="32"/>
      <c r="AD225" s="56"/>
      <c r="AE225" s="96"/>
      <c r="AF225" s="2" t="s">
        <v>335</v>
      </c>
      <c r="AG225" s="22">
        <v>22.090001418283961</v>
      </c>
      <c r="AH225" s="92">
        <v>0.51719361320200974</v>
      </c>
      <c r="AI225" s="22">
        <v>20.229890063940125</v>
      </c>
      <c r="AJ225" s="94">
        <v>5.0475705255191019E-6</v>
      </c>
    </row>
    <row r="226" spans="7:36" ht="19.5" customHeight="1" x14ac:dyDescent="0.4">
      <c r="G226" s="27"/>
      <c r="H226" s="37"/>
      <c r="I226" s="37"/>
      <c r="J226" s="27"/>
      <c r="K226" s="32"/>
      <c r="AD226" s="56"/>
      <c r="AE226" s="96"/>
      <c r="AF226" s="2" t="s">
        <v>336</v>
      </c>
      <c r="AG226" s="22">
        <v>31.685002387692204</v>
      </c>
      <c r="AH226" s="92">
        <v>1</v>
      </c>
      <c r="AI226" s="22">
        <v>28.976707265999021</v>
      </c>
      <c r="AJ226" s="94">
        <v>1.030254356513891E-2</v>
      </c>
    </row>
    <row r="227" spans="7:36" ht="19.5" customHeight="1" x14ac:dyDescent="0.4">
      <c r="G227" s="27"/>
      <c r="H227" s="37"/>
      <c r="I227" s="37"/>
      <c r="J227" s="27"/>
      <c r="K227" s="32"/>
      <c r="AD227" s="56"/>
      <c r="AE227" s="96"/>
      <c r="AF227" s="2" t="s">
        <v>337</v>
      </c>
      <c r="AG227" s="22">
        <v>39.380003393588943</v>
      </c>
      <c r="AH227" s="92">
        <v>0.51719361320200974</v>
      </c>
      <c r="AI227" s="22">
        <v>36.396218198225029</v>
      </c>
      <c r="AJ227" s="94">
        <v>0.98969244217739782</v>
      </c>
    </row>
    <row r="228" spans="7:36" ht="19.5" customHeight="1" x14ac:dyDescent="0.4">
      <c r="G228" s="27"/>
      <c r="H228" s="37"/>
      <c r="I228" s="37"/>
      <c r="J228" s="27"/>
      <c r="K228" s="32"/>
      <c r="AD228" s="56"/>
      <c r="AE228" s="96"/>
      <c r="AF228" s="2" t="s">
        <v>338</v>
      </c>
      <c r="AG228" s="22">
        <v>8.7899999999999991</v>
      </c>
      <c r="AH228" s="92">
        <v>0.51719361320200974</v>
      </c>
      <c r="AI228" s="22">
        <v>6.6905366644049327</v>
      </c>
      <c r="AJ228" s="94">
        <v>1.2270161836729762E-12</v>
      </c>
    </row>
    <row r="229" spans="7:36" ht="19.5" customHeight="1" x14ac:dyDescent="0.4">
      <c r="G229" s="27"/>
      <c r="H229" s="37"/>
      <c r="I229" s="37"/>
      <c r="J229" s="27"/>
      <c r="K229" s="32"/>
      <c r="AD229" s="56"/>
      <c r="AE229" s="96"/>
      <c r="AF229" s="2" t="s">
        <v>339</v>
      </c>
      <c r="AG229" s="22">
        <v>0.89</v>
      </c>
      <c r="AH229" s="92">
        <v>7.1550490058185007E-2</v>
      </c>
      <c r="AI229" s="22">
        <v>0.85281056071365602</v>
      </c>
      <c r="AJ229" s="94">
        <v>8.9650996263307481E-15</v>
      </c>
    </row>
    <row r="230" spans="7:36" ht="19.5" customHeight="1" x14ac:dyDescent="0.4">
      <c r="G230" s="27"/>
      <c r="H230" s="37"/>
      <c r="I230" s="37"/>
      <c r="J230" s="27"/>
      <c r="K230" s="32"/>
      <c r="AD230" s="56"/>
      <c r="AE230" s="96"/>
      <c r="AF230" s="2" t="s">
        <v>340</v>
      </c>
      <c r="AG230" s="22">
        <v>5.28</v>
      </c>
      <c r="AH230" s="92">
        <v>7.1550490058185007E-2</v>
      </c>
      <c r="AI230" s="22">
        <v>4.9079922991232205</v>
      </c>
      <c r="AJ230" s="94">
        <v>6.9236186287436472E-15</v>
      </c>
    </row>
    <row r="231" spans="7:36" ht="19.5" customHeight="1" x14ac:dyDescent="0.4">
      <c r="G231" s="27"/>
      <c r="H231" s="37"/>
      <c r="I231" s="37"/>
      <c r="J231" s="27"/>
      <c r="K231" s="32"/>
      <c r="AD231" s="56"/>
      <c r="AE231" s="96"/>
      <c r="AF231" s="2" t="s">
        <v>341</v>
      </c>
      <c r="AG231" s="22">
        <v>9.61</v>
      </c>
      <c r="AH231" s="92">
        <v>0.51719361320200974</v>
      </c>
      <c r="AI231" s="22">
        <v>7.884341030534368</v>
      </c>
      <c r="AJ231" s="94">
        <v>2.5230165531365482E-16</v>
      </c>
    </row>
    <row r="232" spans="7:36" ht="19.5" customHeight="1" x14ac:dyDescent="0.4">
      <c r="G232" s="27"/>
      <c r="H232" s="37"/>
      <c r="I232" s="37"/>
      <c r="J232" s="27"/>
      <c r="K232" s="32"/>
      <c r="AD232" s="56"/>
      <c r="AE232" s="96"/>
      <c r="AF232" s="2" t="s">
        <v>342</v>
      </c>
      <c r="AG232" s="22">
        <v>12.21</v>
      </c>
      <c r="AH232" s="92">
        <v>1</v>
      </c>
      <c r="AI232" s="22">
        <v>9.7033834556241274</v>
      </c>
      <c r="AJ232" s="94">
        <v>6.4003062571878078E-19</v>
      </c>
    </row>
    <row r="233" spans="7:36" ht="19.5" customHeight="1" x14ac:dyDescent="0.4">
      <c r="G233" s="27"/>
      <c r="H233" s="37"/>
      <c r="I233" s="37"/>
      <c r="J233" s="27"/>
      <c r="K233" s="32"/>
      <c r="AD233" s="56"/>
      <c r="AE233" s="78"/>
      <c r="AF233" s="2"/>
      <c r="AG233" s="22"/>
      <c r="AH233" s="21"/>
      <c r="AI233" s="22"/>
      <c r="AJ233" s="23"/>
    </row>
    <row r="234" spans="7:36" ht="19.5" customHeight="1" x14ac:dyDescent="0.4">
      <c r="G234" s="27"/>
      <c r="H234" s="37"/>
      <c r="I234" s="37"/>
      <c r="J234" s="27"/>
      <c r="K234" s="32"/>
      <c r="AD234" s="56"/>
      <c r="AE234" s="78"/>
      <c r="AF234" s="2" t="s">
        <v>9</v>
      </c>
      <c r="AG234" s="22" t="s">
        <v>10</v>
      </c>
      <c r="AH234" s="85" t="s">
        <v>411</v>
      </c>
      <c r="AI234" s="22" t="s">
        <v>11</v>
      </c>
      <c r="AJ234" s="23" t="s">
        <v>12</v>
      </c>
    </row>
    <row r="235" spans="7:36" ht="19.5" customHeight="1" x14ac:dyDescent="0.4">
      <c r="G235" s="27"/>
      <c r="H235" s="37"/>
      <c r="I235" s="37"/>
      <c r="J235" s="27"/>
      <c r="K235" s="32"/>
      <c r="AD235" s="56"/>
      <c r="AE235" s="97" t="s">
        <v>142</v>
      </c>
      <c r="AF235" s="2" t="s">
        <v>142</v>
      </c>
      <c r="AG235" s="22"/>
      <c r="AH235" s="92">
        <v>2.8224595720654843E-4</v>
      </c>
      <c r="AI235" s="22"/>
      <c r="AJ235" s="94">
        <v>8.7698905915090108E-9</v>
      </c>
    </row>
    <row r="236" spans="7:36" ht="19.5" customHeight="1" x14ac:dyDescent="0.4">
      <c r="G236" s="27"/>
      <c r="H236" s="37"/>
      <c r="I236" s="37"/>
      <c r="J236" s="27"/>
      <c r="K236" s="32"/>
      <c r="AD236" s="56"/>
      <c r="AE236" s="96"/>
      <c r="AF236" s="2" t="s">
        <v>343</v>
      </c>
      <c r="AG236" s="22">
        <v>9.9950004825170264</v>
      </c>
      <c r="AH236" s="92">
        <v>7.1550490058185007E-2</v>
      </c>
      <c r="AI236" s="22">
        <v>7.0291786793218449</v>
      </c>
      <c r="AJ236" s="94">
        <v>3.4293966287835084E-7</v>
      </c>
    </row>
    <row r="237" spans="7:36" x14ac:dyDescent="0.4">
      <c r="G237" s="27"/>
      <c r="H237" s="37"/>
      <c r="I237" s="37"/>
      <c r="J237" s="27"/>
      <c r="K237" s="32"/>
      <c r="AD237" s="56"/>
      <c r="AE237" s="96"/>
      <c r="AF237" s="2" t="s">
        <v>344</v>
      </c>
      <c r="AG237" s="22">
        <v>20.170001353406303</v>
      </c>
      <c r="AH237" s="92">
        <v>0.51719361320200974</v>
      </c>
      <c r="AI237" s="22">
        <v>15.783302089183167</v>
      </c>
      <c r="AJ237" s="94">
        <v>7.1184590059281811E-4</v>
      </c>
    </row>
    <row r="238" spans="7:36" x14ac:dyDescent="0.4">
      <c r="G238" s="27"/>
      <c r="H238" s="37"/>
      <c r="I238" s="37"/>
      <c r="J238" s="27"/>
      <c r="K238" s="32"/>
      <c r="AD238" s="56"/>
      <c r="AE238" s="96"/>
      <c r="AF238" s="2" t="s">
        <v>345</v>
      </c>
      <c r="AG238" s="22">
        <v>29.585002314355851</v>
      </c>
      <c r="AH238" s="92">
        <v>1</v>
      </c>
      <c r="AI238" s="22">
        <v>24.350119282783371</v>
      </c>
      <c r="AJ238" s="94">
        <v>0.95994874207728031</v>
      </c>
    </row>
    <row r="239" spans="7:36" x14ac:dyDescent="0.4">
      <c r="G239" s="27"/>
      <c r="H239" s="37"/>
      <c r="I239" s="37"/>
      <c r="J239" s="27"/>
      <c r="K239" s="32"/>
      <c r="AD239" s="56"/>
      <c r="AE239" s="96"/>
      <c r="AF239" s="2" t="s">
        <v>346</v>
      </c>
      <c r="AG239" s="22">
        <v>33.910003161886969</v>
      </c>
      <c r="AH239" s="92">
        <v>0.51719361320200974</v>
      </c>
      <c r="AI239" s="22">
        <v>28.399630056643755</v>
      </c>
      <c r="AJ239" s="94">
        <v>3.9337221354222268E-2</v>
      </c>
    </row>
    <row r="240" spans="7:36" x14ac:dyDescent="0.4">
      <c r="AD240" s="56"/>
      <c r="AE240" s="96"/>
      <c r="AF240" s="2" t="s">
        <v>347</v>
      </c>
      <c r="AG240" s="22">
        <v>7.6</v>
      </c>
      <c r="AH240" s="92">
        <v>0.51719361320200974</v>
      </c>
      <c r="AI240" s="22">
        <v>2.9739487545256349</v>
      </c>
      <c r="AJ240" s="94">
        <v>9.2929574450343981E-10</v>
      </c>
    </row>
    <row r="241" spans="7:36" x14ac:dyDescent="0.4">
      <c r="AD241" s="56"/>
      <c r="AE241" s="96"/>
      <c r="AF241" s="2" t="s">
        <v>348</v>
      </c>
      <c r="AG241" s="22">
        <v>3.86</v>
      </c>
      <c r="AH241" s="92">
        <v>0.51719361320200974</v>
      </c>
      <c r="AI241" s="22">
        <v>-0.34633908588905227</v>
      </c>
      <c r="AJ241" s="94">
        <v>1.1562148662716169E-10</v>
      </c>
    </row>
    <row r="242" spans="7:36" x14ac:dyDescent="0.4">
      <c r="G242" s="27"/>
      <c r="H242" s="37"/>
      <c r="I242" s="37"/>
      <c r="J242" s="27"/>
      <c r="K242" s="32"/>
      <c r="AD242" s="56"/>
      <c r="AE242" s="96"/>
      <c r="AF242" s="2" t="s">
        <v>349</v>
      </c>
      <c r="AG242" s="22">
        <v>5.43</v>
      </c>
      <c r="AH242" s="92">
        <v>0.51719361320200974</v>
      </c>
      <c r="AI242" s="22">
        <v>0.28034725142495365</v>
      </c>
      <c r="AJ242" s="94">
        <v>1.4325452403282071E-11</v>
      </c>
    </row>
    <row r="243" spans="7:36" x14ac:dyDescent="0.4">
      <c r="G243" s="27"/>
      <c r="H243" s="37"/>
      <c r="I243" s="37"/>
      <c r="J243" s="27"/>
      <c r="K243" s="32"/>
      <c r="AD243" s="56"/>
      <c r="AE243" s="96"/>
      <c r="AF243" s="2" t="s">
        <v>350</v>
      </c>
      <c r="AG243" s="22">
        <v>5.52</v>
      </c>
      <c r="AH243" s="92">
        <v>2.647758545939868E-3</v>
      </c>
      <c r="AI243" s="22">
        <v>1.7178083634534009</v>
      </c>
      <c r="AJ243" s="94">
        <v>1.1480291557406366E-11</v>
      </c>
    </row>
    <row r="244" spans="7:36" x14ac:dyDescent="0.4">
      <c r="G244" s="27"/>
      <c r="H244" s="37"/>
      <c r="I244" s="37"/>
      <c r="J244" s="27"/>
      <c r="K244" s="32"/>
      <c r="AD244" s="56"/>
      <c r="AE244" s="96"/>
      <c r="AF244" s="2" t="s">
        <v>351</v>
      </c>
      <c r="AG244" s="22">
        <v>3.26</v>
      </c>
      <c r="AH244" s="92">
        <v>7.1550490058185007E-2</v>
      </c>
      <c r="AI244" s="22">
        <v>0.69622265083435719</v>
      </c>
      <c r="AJ244" s="94">
        <v>2.4652375695217305E-8</v>
      </c>
    </row>
    <row r="245" spans="7:36" x14ac:dyDescent="0.4">
      <c r="G245" s="27"/>
      <c r="H245" s="37"/>
      <c r="I245" s="37"/>
      <c r="J245" s="27"/>
      <c r="K245" s="32"/>
      <c r="AD245" s="56"/>
      <c r="AE245" s="96"/>
      <c r="AF245" s="2" t="s">
        <v>352</v>
      </c>
      <c r="AG245" s="22">
        <v>6.38</v>
      </c>
      <c r="AH245" s="92">
        <v>0.51719361320200974</v>
      </c>
      <c r="AI245" s="22">
        <v>2.7973896438359409</v>
      </c>
      <c r="AJ245" s="94">
        <v>1.7606284772404669E-6</v>
      </c>
    </row>
    <row r="246" spans="7:36" x14ac:dyDescent="0.4">
      <c r="G246" s="27"/>
      <c r="H246" s="37"/>
      <c r="I246" s="37"/>
      <c r="J246" s="27"/>
      <c r="K246" s="32"/>
      <c r="AD246" s="56"/>
      <c r="AE246" s="96"/>
      <c r="AF246" s="2" t="s">
        <v>353</v>
      </c>
      <c r="AG246" s="22">
        <v>5.83</v>
      </c>
      <c r="AH246" s="92">
        <v>1</v>
      </c>
      <c r="AI246" s="22">
        <v>1.8012503305161358</v>
      </c>
      <c r="AJ246" s="94">
        <v>1.0050099469969618E-7</v>
      </c>
    </row>
    <row r="247" spans="7:36" x14ac:dyDescent="0.4">
      <c r="G247" s="27"/>
      <c r="H247" s="37"/>
      <c r="I247" s="37"/>
      <c r="J247" s="27"/>
      <c r="K247" s="32"/>
      <c r="AD247" s="56"/>
      <c r="AE247" s="96"/>
      <c r="AF247" s="2" t="s">
        <v>354</v>
      </c>
      <c r="AG247" s="22">
        <v>4.5999999999999996</v>
      </c>
      <c r="AH247" s="92">
        <v>7.1550490058185007E-2</v>
      </c>
      <c r="AI247" s="22">
        <v>1.7014043892439208</v>
      </c>
      <c r="AJ247" s="94">
        <v>1.6968239885067531E-11</v>
      </c>
    </row>
    <row r="248" spans="7:36" x14ac:dyDescent="0.4">
      <c r="G248" s="27"/>
      <c r="H248" s="37"/>
      <c r="I248" s="37"/>
      <c r="J248" s="27"/>
      <c r="K248" s="32"/>
      <c r="AD248" s="56"/>
      <c r="AE248" s="96"/>
      <c r="AF248" s="2" t="s">
        <v>355</v>
      </c>
      <c r="AG248" s="22">
        <v>8.1</v>
      </c>
      <c r="AH248" s="92">
        <v>0.51719361320200974</v>
      </c>
      <c r="AI248" s="22">
        <v>3.847753120655069</v>
      </c>
      <c r="AJ248" s="94">
        <v>9.1458433265547071E-14</v>
      </c>
    </row>
    <row r="249" spans="7:36" x14ac:dyDescent="0.4">
      <c r="G249" s="27"/>
      <c r="H249" s="37"/>
      <c r="I249" s="37"/>
      <c r="J249" s="27"/>
      <c r="K249" s="32"/>
      <c r="AD249" s="56"/>
      <c r="AE249" s="96"/>
      <c r="AF249" s="2" t="s">
        <v>356</v>
      </c>
      <c r="AG249" s="22">
        <v>10.3</v>
      </c>
      <c r="AH249" s="92">
        <v>1</v>
      </c>
      <c r="AI249" s="22">
        <v>5.266795545744829</v>
      </c>
      <c r="AJ249" s="94">
        <v>9.2364357417078026E-17</v>
      </c>
    </row>
    <row r="250" spans="7:36" x14ac:dyDescent="0.4">
      <c r="G250" s="27"/>
      <c r="H250" s="37"/>
      <c r="I250" s="37"/>
      <c r="J250" s="27"/>
      <c r="K250" s="32"/>
      <c r="AD250" s="56"/>
      <c r="AE250" s="96"/>
      <c r="AF250" s="2" t="s">
        <v>357</v>
      </c>
      <c r="AG250" s="22">
        <v>11.51</v>
      </c>
      <c r="AH250" s="92">
        <v>0.51719361320200974</v>
      </c>
      <c r="AI250" s="22">
        <v>6.2685316645131968</v>
      </c>
      <c r="AJ250" s="94">
        <v>3.568442988659116E-20</v>
      </c>
    </row>
    <row r="251" spans="7:36" x14ac:dyDescent="0.4">
      <c r="G251" s="27"/>
      <c r="H251" s="37"/>
      <c r="I251" s="37"/>
      <c r="J251" s="27"/>
      <c r="K251" s="32"/>
      <c r="AD251" s="56"/>
      <c r="AE251" s="78"/>
      <c r="AF251" s="2"/>
      <c r="AG251" s="22"/>
      <c r="AH251" s="21"/>
      <c r="AI251" s="22"/>
      <c r="AJ251" s="23"/>
    </row>
    <row r="252" spans="7:36" x14ac:dyDescent="0.4">
      <c r="AD252" s="56"/>
      <c r="AE252" s="78"/>
      <c r="AF252" s="2" t="s">
        <v>9</v>
      </c>
      <c r="AG252" s="22" t="s">
        <v>10</v>
      </c>
      <c r="AH252" s="85" t="s">
        <v>411</v>
      </c>
      <c r="AI252" s="22" t="s">
        <v>11</v>
      </c>
      <c r="AJ252" s="23" t="s">
        <v>12</v>
      </c>
    </row>
    <row r="253" spans="7:36" x14ac:dyDescent="0.4">
      <c r="AD253" s="56"/>
      <c r="AE253" s="97" t="s">
        <v>382</v>
      </c>
      <c r="AF253" s="2" t="s">
        <v>55</v>
      </c>
      <c r="AG253" s="22"/>
      <c r="AH253" s="92">
        <v>6.1685737151107596E-2</v>
      </c>
      <c r="AI253" s="22"/>
      <c r="AJ253" s="94">
        <v>1.5207972034469996E-11</v>
      </c>
    </row>
    <row r="254" spans="7:36" x14ac:dyDescent="0.4">
      <c r="AD254" s="56"/>
      <c r="AE254" s="96"/>
      <c r="AF254" s="2" t="s">
        <v>385</v>
      </c>
      <c r="AG254" s="22">
        <v>11.8134134564354</v>
      </c>
      <c r="AH254" s="92">
        <v>0.82352834308146794</v>
      </c>
      <c r="AI254" s="22">
        <v>10.126082744170297</v>
      </c>
      <c r="AJ254" s="94">
        <v>7.4335952620171971E-7</v>
      </c>
    </row>
    <row r="255" spans="7:36" ht="17.100000000000001" customHeight="1" x14ac:dyDescent="0.4">
      <c r="AD255" s="56"/>
      <c r="AE255" s="96"/>
      <c r="AF255" s="2" t="s">
        <v>400</v>
      </c>
      <c r="AG255" s="22">
        <v>21.113706051078534</v>
      </c>
      <c r="AH255" s="92">
        <v>1.2600981211891341E-3</v>
      </c>
      <c r="AI255" s="22">
        <v>21.679812604993053</v>
      </c>
      <c r="AJ255" s="94">
        <v>0.97268817019513476</v>
      </c>
    </row>
    <row r="256" spans="7:36" ht="17.100000000000001" customHeight="1" x14ac:dyDescent="0.4">
      <c r="AD256" s="56"/>
      <c r="AE256" s="96"/>
      <c r="AF256" s="2" t="s">
        <v>406</v>
      </c>
      <c r="AG256" s="22">
        <v>28.958065293493334</v>
      </c>
      <c r="AH256" s="92">
        <v>14.520302783864713</v>
      </c>
      <c r="AI256" s="22">
        <v>24.900763618367762</v>
      </c>
      <c r="AJ256" s="94">
        <v>5.9152010361288882E-3</v>
      </c>
    </row>
    <row r="257" spans="30:36" ht="17.100000000000001" customHeight="1" x14ac:dyDescent="0.4">
      <c r="AD257" s="56"/>
      <c r="AE257" s="96"/>
      <c r="AF257" s="2" t="s">
        <v>407</v>
      </c>
      <c r="AG257" s="22">
        <v>34.488364369347551</v>
      </c>
      <c r="AH257" s="92">
        <v>1.3649671892605988</v>
      </c>
      <c r="AI257" s="22">
        <v>30.896079234233447</v>
      </c>
      <c r="AJ257" s="94">
        <v>2.139587180210516E-2</v>
      </c>
    </row>
    <row r="258" spans="30:36" ht="17.100000000000001" customHeight="1" x14ac:dyDescent="0.4">
      <c r="AD258" s="56"/>
      <c r="AE258" s="96"/>
      <c r="AF258" s="2" t="s">
        <v>389</v>
      </c>
      <c r="AG258" s="22">
        <v>4.2699999999999996</v>
      </c>
      <c r="AH258" s="92">
        <v>0.88296610682236565</v>
      </c>
      <c r="AI258" s="22">
        <v>2.170927063034048</v>
      </c>
      <c r="AJ258" s="94">
        <v>6.5975368999341703E-11</v>
      </c>
    </row>
    <row r="259" spans="30:36" ht="17.100000000000001" customHeight="1" x14ac:dyDescent="0.4">
      <c r="AD259" s="56"/>
      <c r="AE259" s="96"/>
      <c r="AF259" s="2" t="s">
        <v>408</v>
      </c>
      <c r="AG259" s="22">
        <v>6.11</v>
      </c>
      <c r="AH259" s="92">
        <v>0.88296610682236565</v>
      </c>
      <c r="AI259" s="22">
        <v>3.0676134003480544</v>
      </c>
      <c r="AJ259" s="94">
        <v>1.522129576580325E-11</v>
      </c>
    </row>
    <row r="260" spans="30:36" x14ac:dyDescent="0.4">
      <c r="AE260" s="96"/>
      <c r="AF260" s="2" t="s">
        <v>390</v>
      </c>
      <c r="AG260" s="22">
        <v>1.28</v>
      </c>
      <c r="AH260" s="92">
        <v>0.19382115435150776</v>
      </c>
      <c r="AI260" s="22">
        <v>0.62299111669188822</v>
      </c>
      <c r="AJ260" s="94">
        <v>3.6116393267636774E-11</v>
      </c>
    </row>
    <row r="261" spans="30:36" x14ac:dyDescent="0.4">
      <c r="AE261" s="96"/>
      <c r="AF261" s="2" t="s">
        <v>417</v>
      </c>
      <c r="AG261" s="22">
        <v>1.1599999999999999</v>
      </c>
      <c r="AH261" s="92">
        <v>0.88296610682236565</v>
      </c>
      <c r="AI261" s="22">
        <v>-0.31534420724095846</v>
      </c>
      <c r="AJ261" s="94">
        <v>2.3551089390196643E-12</v>
      </c>
    </row>
    <row r="262" spans="30:36" x14ac:dyDescent="0.4">
      <c r="AE262" s="96"/>
      <c r="AF262" s="2" t="s">
        <v>418</v>
      </c>
      <c r="AG262" s="22">
        <v>6.03</v>
      </c>
      <c r="AH262" s="92">
        <v>0.19382115435150776</v>
      </c>
      <c r="AI262" s="22">
        <v>5.0381728551014522</v>
      </c>
      <c r="AJ262" s="94">
        <v>6.3897282893796274E-11</v>
      </c>
    </row>
    <row r="263" spans="30:36" x14ac:dyDescent="0.4">
      <c r="AE263" s="96"/>
      <c r="AF263" s="2" t="s">
        <v>419</v>
      </c>
      <c r="AG263" s="22">
        <v>10.66</v>
      </c>
      <c r="AH263" s="92">
        <v>0.88296610682236565</v>
      </c>
      <c r="AI263" s="22">
        <v>8.5150192695781701</v>
      </c>
      <c r="AJ263" s="94">
        <v>7.3716895340859261E-12</v>
      </c>
    </row>
    <row r="264" spans="30:36" x14ac:dyDescent="0.4">
      <c r="AE264" s="96"/>
      <c r="AF264" s="2" t="s">
        <v>420</v>
      </c>
      <c r="AG264" s="22">
        <v>13.66</v>
      </c>
      <c r="AH264" s="92">
        <v>1</v>
      </c>
      <c r="AI264" s="22">
        <v>10.966352574753515</v>
      </c>
      <c r="AJ264" s="94">
        <v>8.0193389878820822E-14</v>
      </c>
    </row>
  </sheetData>
  <mergeCells count="42">
    <mergeCell ref="AE211:AE220"/>
    <mergeCell ref="AE223:AE232"/>
    <mergeCell ref="AE235:AE250"/>
    <mergeCell ref="B1:C2"/>
    <mergeCell ref="AE158:AE168"/>
    <mergeCell ref="AE171:AE181"/>
    <mergeCell ref="AE184:AE194"/>
    <mergeCell ref="AE197:AE208"/>
    <mergeCell ref="AE106:AE116"/>
    <mergeCell ref="AE119:AE129"/>
    <mergeCell ref="A25:C26"/>
    <mergeCell ref="AE132:AE142"/>
    <mergeCell ref="AE145:AE155"/>
    <mergeCell ref="AE54:AE64"/>
    <mergeCell ref="AE67:AE77"/>
    <mergeCell ref="AE80:AE90"/>
    <mergeCell ref="AE2:AE12"/>
    <mergeCell ref="AE15:AE25"/>
    <mergeCell ref="AE28:AE38"/>
    <mergeCell ref="AE41:AE51"/>
    <mergeCell ref="A3:A4"/>
    <mergeCell ref="A6:A7"/>
    <mergeCell ref="A10:A11"/>
    <mergeCell ref="B6:C6"/>
    <mergeCell ref="B7:C7"/>
    <mergeCell ref="B4:C4"/>
    <mergeCell ref="X127:X132"/>
    <mergeCell ref="AE253:AE264"/>
    <mergeCell ref="B9:C9"/>
    <mergeCell ref="B3:C3"/>
    <mergeCell ref="X118:X124"/>
    <mergeCell ref="AE93:AE103"/>
    <mergeCell ref="X56:X66"/>
    <mergeCell ref="X69:X77"/>
    <mergeCell ref="X80:X87"/>
    <mergeCell ref="X90:X100"/>
    <mergeCell ref="X103:X115"/>
    <mergeCell ref="X2:X9"/>
    <mergeCell ref="X12:X20"/>
    <mergeCell ref="X23:X30"/>
    <mergeCell ref="X33:X41"/>
    <mergeCell ref="X44:X53"/>
  </mergeCells>
  <phoneticPr fontId="6" type="noConversion"/>
  <printOptions horizontalCentered="1" verticalCentered="1"/>
  <pageMargins left="0.75" right="0.75" top="0.25" bottom="0.25" header="0" footer="0"/>
  <pageSetup fitToHeight="2" orientation="portrait" horizontalDpi="300" verticalDpi="300"/>
  <legacyDrawing r:id="rId1"/>
  <extLst>
    <ext xmlns:mx="http://schemas.microsoft.com/office/mac/excel/2008/main" uri="{64002731-A6B0-56B0-2670-7721B7C09600}">
      <mx:PLV Mode="0" OnePage="0" WScale="10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main</vt:lpstr>
      <vt:lpstr>main!Print_Area</vt:lpstr>
    </vt:vector>
  </TitlesOfParts>
  <Company>RSMAS, University of Miami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Denis Pierrot</dc:creator>
  <cp:lastModifiedBy>jcohen</cp:lastModifiedBy>
  <cp:lastPrinted>2015-12-04T21:19:03Z</cp:lastPrinted>
  <dcterms:created xsi:type="dcterms:W3CDTF">2000-05-11T20:06:34Z</dcterms:created>
  <dcterms:modified xsi:type="dcterms:W3CDTF">2016-04-15T15:14:20Z</dcterms:modified>
</cp:coreProperties>
</file>